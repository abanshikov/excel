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 defaultThemeVersion="124226"/>
  <bookViews>
    <workbookView xWindow="0" yWindow="90" windowWidth="19440" windowHeight="12585"/>
  </bookViews>
  <sheets>
    <sheet name="Регистрация заявок" sheetId="1" r:id="rId1"/>
    <sheet name="Реестр контрагентов" sheetId="2" r:id="rId2"/>
    <sheet name="Шаблон заявки" sheetId="7" r:id="rId3"/>
  </sheets>
  <functionGroups/>
  <calcPr calcId="125725"/>
</workbook>
</file>

<file path=xl/calcChain.xml><?xml version="1.0" encoding="utf-8"?>
<calcChain xmlns="http://schemas.openxmlformats.org/spreadsheetml/2006/main">
  <c r="D46" i="1"/>
  <c r="D45"/>
  <c r="D38"/>
  <c r="D37"/>
  <c r="D36"/>
  <c r="D35"/>
  <c r="D34"/>
  <c r="D25"/>
  <c r="D24"/>
  <c r="D23"/>
  <c r="D22"/>
  <c r="D21"/>
  <c r="D17"/>
  <c r="D16"/>
  <c r="D15"/>
  <c r="D14"/>
  <c r="D13"/>
  <c r="D12"/>
  <c r="C48"/>
  <c r="C47"/>
  <c r="C44"/>
  <c r="C43"/>
  <c r="C42"/>
  <c r="C41"/>
  <c r="C40"/>
  <c r="C39"/>
  <c r="C33"/>
  <c r="C32"/>
  <c r="C31"/>
  <c r="C30"/>
  <c r="C29"/>
  <c r="C28"/>
  <c r="C27"/>
  <c r="C26"/>
  <c r="C20"/>
  <c r="C19"/>
  <c r="C18"/>
  <c r="C11"/>
  <c r="C10"/>
  <c r="C9"/>
  <c r="C8"/>
  <c r="C7"/>
  <c r="C6"/>
  <c r="C5"/>
  <c r="C4"/>
  <c r="C3"/>
  <c r="F4"/>
  <c r="F5"/>
  <c r="F6"/>
  <c r="F7"/>
  <c r="H7" s="1"/>
  <c r="F8"/>
  <c r="F9"/>
  <c r="F10"/>
  <c r="F11"/>
  <c r="F12"/>
  <c r="F13"/>
  <c r="F14"/>
  <c r="F15"/>
  <c r="F16"/>
  <c r="F17"/>
  <c r="F18"/>
  <c r="F19"/>
  <c r="F20"/>
  <c r="F21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41"/>
  <c r="F42"/>
  <c r="F43"/>
  <c r="F44"/>
  <c r="F45"/>
  <c r="F46"/>
  <c r="F47"/>
  <c r="F48"/>
  <c r="F3"/>
  <c r="J46"/>
  <c r="K46" s="1"/>
  <c r="J45"/>
  <c r="K45" s="1"/>
  <c r="J38"/>
  <c r="K38" s="1"/>
  <c r="J37"/>
  <c r="K37" s="1"/>
  <c r="J36"/>
  <c r="K36" s="1"/>
  <c r="J35"/>
  <c r="K35" s="1"/>
  <c r="J34"/>
  <c r="K34" s="1"/>
  <c r="J25"/>
  <c r="K25" s="1"/>
  <c r="J24"/>
  <c r="K24" s="1"/>
  <c r="J23"/>
  <c r="K23" s="1"/>
  <c r="J22"/>
  <c r="K22" s="1"/>
  <c r="J21"/>
  <c r="K21" s="1"/>
  <c r="J17"/>
  <c r="K17" s="1"/>
  <c r="J16"/>
  <c r="K16" s="1"/>
  <c r="J15"/>
  <c r="K15" s="1"/>
  <c r="J14"/>
  <c r="K14" s="1"/>
  <c r="J13"/>
  <c r="K13" s="1"/>
  <c r="J12"/>
  <c r="K12" s="1"/>
  <c r="I20"/>
  <c r="K20" s="1"/>
  <c r="I19"/>
  <c r="K19" s="1"/>
  <c r="I18"/>
  <c r="K18" s="1"/>
  <c r="I48"/>
  <c r="K48" s="1"/>
  <c r="I47"/>
  <c r="K47" s="1"/>
  <c r="I44"/>
  <c r="K44" s="1"/>
  <c r="I43"/>
  <c r="K43" s="1"/>
  <c r="I42"/>
  <c r="K42" s="1"/>
  <c r="I41"/>
  <c r="K41" s="1"/>
  <c r="I40"/>
  <c r="K40" s="1"/>
  <c r="I39"/>
  <c r="K39" s="1"/>
  <c r="I33"/>
  <c r="K33" s="1"/>
  <c r="I32"/>
  <c r="K32" s="1"/>
  <c r="I31"/>
  <c r="K31" s="1"/>
  <c r="I30"/>
  <c r="K30" s="1"/>
  <c r="I29"/>
  <c r="K29" s="1"/>
  <c r="I28"/>
  <c r="K28" s="1"/>
  <c r="I27"/>
  <c r="K27" s="1"/>
  <c r="I26"/>
  <c r="K26" s="1"/>
  <c r="I11"/>
  <c r="K11" s="1"/>
  <c r="I10"/>
  <c r="K10" s="1"/>
  <c r="I9"/>
  <c r="K9" s="1"/>
  <c r="I8"/>
  <c r="K8" s="1"/>
  <c r="I7"/>
  <c r="K7" s="1"/>
  <c r="I6"/>
  <c r="K6" s="1"/>
  <c r="I5"/>
  <c r="K5" s="1"/>
  <c r="I4"/>
  <c r="K4" s="1"/>
  <c r="I3"/>
  <c r="K3" s="1"/>
  <c r="B4"/>
  <c r="M4" s="1"/>
  <c r="B5"/>
  <c r="M5" s="1"/>
  <c r="B6"/>
  <c r="M6" s="1"/>
  <c r="B7"/>
  <c r="M7" s="1"/>
  <c r="B8"/>
  <c r="M8" s="1"/>
  <c r="B9"/>
  <c r="M9" s="1"/>
  <c r="B10"/>
  <c r="M10" s="1"/>
  <c r="B11"/>
  <c r="M11" s="1"/>
  <c r="B12"/>
  <c r="M12" s="1"/>
  <c r="B13"/>
  <c r="M13" s="1"/>
  <c r="B14"/>
  <c r="M14" s="1"/>
  <c r="B15"/>
  <c r="M15" s="1"/>
  <c r="B16"/>
  <c r="M16" s="1"/>
  <c r="B17"/>
  <c r="M17" s="1"/>
  <c r="B18"/>
  <c r="M18" s="1"/>
  <c r="B19"/>
  <c r="M19" s="1"/>
  <c r="B20"/>
  <c r="M20" s="1"/>
  <c r="B21"/>
  <c r="M21" s="1"/>
  <c r="B22"/>
  <c r="M22" s="1"/>
  <c r="B23"/>
  <c r="M23" s="1"/>
  <c r="B24"/>
  <c r="M24" s="1"/>
  <c r="B25"/>
  <c r="M25" s="1"/>
  <c r="B26"/>
  <c r="M26" s="1"/>
  <c r="B27"/>
  <c r="M27" s="1"/>
  <c r="B28"/>
  <c r="M28" s="1"/>
  <c r="B29"/>
  <c r="M29" s="1"/>
  <c r="B30"/>
  <c r="M30" s="1"/>
  <c r="B31"/>
  <c r="M31" s="1"/>
  <c r="B32"/>
  <c r="M32" s="1"/>
  <c r="B33"/>
  <c r="M33" s="1"/>
  <c r="B34"/>
  <c r="M34" s="1"/>
  <c r="B35"/>
  <c r="M35" s="1"/>
  <c r="B36"/>
  <c r="M36" s="1"/>
  <c r="B37"/>
  <c r="M37" s="1"/>
  <c r="B38"/>
  <c r="M38" s="1"/>
  <c r="B39"/>
  <c r="M39" s="1"/>
  <c r="B40"/>
  <c r="M40" s="1"/>
  <c r="B41"/>
  <c r="M41" s="1"/>
  <c r="B42"/>
  <c r="M42" s="1"/>
  <c r="B43"/>
  <c r="M43" s="1"/>
  <c r="B44"/>
  <c r="M44" s="1"/>
  <c r="B45"/>
  <c r="M45" s="1"/>
  <c r="B46"/>
  <c r="M46" s="1"/>
  <c r="B47"/>
  <c r="M47" s="1"/>
  <c r="B48"/>
  <c r="M48" s="1"/>
  <c r="B3"/>
  <c r="M3" s="1"/>
  <c r="I3" i="2"/>
  <c r="H7"/>
  <c r="H6"/>
  <c r="H5"/>
  <c r="H4"/>
  <c r="H3"/>
  <c r="I7"/>
  <c r="I6"/>
  <c r="I5"/>
  <c r="I4"/>
  <c r="G7"/>
  <c r="G6"/>
  <c r="G5"/>
  <c r="G4"/>
  <c r="G3"/>
  <c r="F7"/>
  <c r="F6"/>
  <c r="F5"/>
  <c r="F4"/>
  <c r="F3"/>
  <c r="C3"/>
  <c r="E48" i="1" l="1"/>
  <c r="E46"/>
  <c r="E44"/>
  <c r="E42"/>
  <c r="E40"/>
  <c r="E38"/>
  <c r="E36"/>
  <c r="E34"/>
  <c r="E32"/>
  <c r="E30"/>
  <c r="E28"/>
  <c r="E26"/>
  <c r="E24"/>
  <c r="E22"/>
  <c r="E20"/>
  <c r="E18"/>
  <c r="E16"/>
  <c r="E14"/>
  <c r="E12"/>
  <c r="E10"/>
  <c r="E8"/>
  <c r="E6"/>
  <c r="E4"/>
  <c r="E47"/>
  <c r="E45"/>
  <c r="E43"/>
  <c r="E41"/>
  <c r="E39"/>
  <c r="E37"/>
  <c r="E35"/>
  <c r="E33"/>
  <c r="E31"/>
  <c r="E29"/>
  <c r="E27"/>
  <c r="E25"/>
  <c r="E23"/>
  <c r="E21"/>
  <c r="E19"/>
  <c r="E17"/>
  <c r="E15"/>
  <c r="E13"/>
  <c r="E11"/>
  <c r="E9"/>
  <c r="E7"/>
  <c r="E5"/>
  <c r="E3"/>
  <c r="H37" l="1"/>
  <c r="H38"/>
  <c r="H40"/>
  <c r="H41"/>
  <c r="H42"/>
  <c r="H43"/>
  <c r="H45"/>
  <c r="H46"/>
  <c r="H47"/>
  <c r="H6" l="1"/>
  <c r="H9" l="1"/>
  <c r="H11"/>
  <c r="H12"/>
  <c r="H13"/>
  <c r="H14"/>
  <c r="H15"/>
  <c r="H16"/>
  <c r="H17"/>
  <c r="H18"/>
  <c r="H19"/>
  <c r="H21"/>
  <c r="H22"/>
  <c r="H23"/>
  <c r="H24"/>
  <c r="H25"/>
  <c r="H26"/>
  <c r="H27"/>
  <c r="H28"/>
  <c r="H29"/>
  <c r="H30"/>
  <c r="H32"/>
  <c r="H33"/>
  <c r="H34"/>
  <c r="H35"/>
  <c r="H36"/>
  <c r="H4"/>
  <c r="H3"/>
</calcChain>
</file>

<file path=xl/sharedStrings.xml><?xml version="1.0" encoding="utf-8"?>
<sst xmlns="http://schemas.openxmlformats.org/spreadsheetml/2006/main" count="282" uniqueCount="168">
  <si>
    <t>№ заявки</t>
  </si>
  <si>
    <t>Дата заявки</t>
  </si>
  <si>
    <t>Счет-фактура</t>
  </si>
  <si>
    <t>Счет</t>
  </si>
  <si>
    <t>Сумма, руб</t>
  </si>
  <si>
    <t>Ед.</t>
  </si>
  <si>
    <t>Номер</t>
  </si>
  <si>
    <t>Дата счёта (счёт-фактуры)</t>
  </si>
  <si>
    <t>Дата договора</t>
  </si>
  <si>
    <t>Заявка на проведение расчетов</t>
  </si>
  <si>
    <t>Дата платежа</t>
  </si>
  <si>
    <t>Сумма платежа</t>
  </si>
  <si>
    <t xml:space="preserve">Ставка НДС (%) </t>
  </si>
  <si>
    <r>
      <t xml:space="preserve">Сумма НДС </t>
    </r>
    <r>
      <rPr>
        <sz val="8"/>
        <color rgb="FF000000"/>
        <rFont val="Times New Roman"/>
        <family val="1"/>
        <charset val="204"/>
      </rPr>
      <t>(в соответствии с документом-основанием)</t>
    </r>
  </si>
  <si>
    <t xml:space="preserve">Наименование получателя денежных средств </t>
  </si>
  <si>
    <t>Дата и номер договора</t>
  </si>
  <si>
    <t>Условия (срок) оплаты по договору</t>
  </si>
  <si>
    <r>
      <t xml:space="preserve">Документ основание </t>
    </r>
    <r>
      <rPr>
        <sz val="8"/>
        <color rgb="FF000000"/>
        <rFont val="Times New Roman"/>
        <family val="1"/>
        <charset val="204"/>
      </rPr>
      <t>(наименование дата номер)</t>
    </r>
  </si>
  <si>
    <t>Код платежа*</t>
  </si>
  <si>
    <t xml:space="preserve">Назначение платежа </t>
  </si>
  <si>
    <t>Примечание</t>
  </si>
  <si>
    <t>Банковские реквизиты Получателя:</t>
  </si>
  <si>
    <t>ИНН</t>
  </si>
  <si>
    <t>КПП</t>
  </si>
  <si>
    <t>Расчетный счет Банка получателя</t>
  </si>
  <si>
    <t>БИК Банка получателя</t>
  </si>
  <si>
    <t>Наименование Банка получателя</t>
  </si>
  <si>
    <t xml:space="preserve">КБК ** </t>
  </si>
  <si>
    <t xml:space="preserve">ОКТМО ** </t>
  </si>
  <si>
    <t>Налоговый период **</t>
  </si>
  <si>
    <t>УИН **</t>
  </si>
  <si>
    <t>Ответственный исполнитель</t>
  </si>
  <si>
    <t>(ФИО)</t>
  </si>
  <si>
    <t>(должность)</t>
  </si>
  <si>
    <t>(подпись)</t>
  </si>
  <si>
    <r>
      <t xml:space="preserve">* </t>
    </r>
    <r>
      <rPr>
        <sz val="11"/>
        <color rgb="FF000000"/>
        <rFont val="Times New Roman"/>
        <family val="1"/>
        <charset val="204"/>
      </rPr>
      <t>код заполняется специалистами ФО</t>
    </r>
  </si>
  <si>
    <r>
      <t>**</t>
    </r>
    <r>
      <rPr>
        <sz val="11"/>
        <color rgb="FF000000"/>
        <rFont val="Times New Roman"/>
        <family val="1"/>
        <charset val="204"/>
      </rPr>
      <t xml:space="preserve"> обязательно к заполнению ответственными по заявки для платежей в бюджеты всех уровней</t>
    </r>
  </si>
  <si>
    <t>(структурное подразделение)</t>
  </si>
  <si>
    <t>Наименование получателя денежных средств</t>
  </si>
  <si>
    <t>Банковские реквизиты Получателя</t>
  </si>
  <si>
    <r>
      <t xml:space="preserve">Сумма НДС </t>
    </r>
    <r>
      <rPr>
        <sz val="9"/>
        <color theme="1"/>
        <rFont val="Times New Roman"/>
        <family val="1"/>
        <charset val="204"/>
      </rPr>
      <t>(в соответствии с документом-основанием)</t>
    </r>
  </si>
  <si>
    <t>Номер договора</t>
  </si>
  <si>
    <t>электроэнергия</t>
  </si>
  <si>
    <t>до 10 числа тек. месяца аванс 30%;
до 25 числа тек. месяца аванс 40%;
до 18 числа тек. месяца окончательный расчёт</t>
  </si>
  <si>
    <t>до 15 числа тек. месяца аванс 100%;
до 10 числа тек. месяца окончательный расчёт</t>
  </si>
  <si>
    <t>в теч. 10 дней с момента предъявления счета</t>
  </si>
  <si>
    <r>
      <t>Количество (кВтч, м</t>
    </r>
    <r>
      <rPr>
        <b/>
        <vertAlign val="superscript"/>
        <sz val="10"/>
        <color theme="1"/>
        <rFont val="Times New Roman"/>
        <family val="1"/>
        <charset val="204"/>
      </rPr>
      <t>3</t>
    </r>
    <r>
      <rPr>
        <b/>
        <sz val="10"/>
        <color theme="1"/>
        <rFont val="Times New Roman"/>
        <family val="1"/>
        <charset val="204"/>
      </rPr>
      <t>,Гкал)</t>
    </r>
  </si>
  <si>
    <t>кВт*ч</t>
  </si>
  <si>
    <t>Потреблено</t>
  </si>
  <si>
    <t>Счёт</t>
  </si>
  <si>
    <t>Счёт-фактура (факт)</t>
  </si>
  <si>
    <t>м3</t>
  </si>
  <si>
    <t>водоснабжение</t>
  </si>
  <si>
    <t>до 20 числа иек.месяца аванс;
окончательный расчет в теч. 5 дней с момента
 предъявления счета</t>
  </si>
  <si>
    <t>до 25 числа тек.месяца</t>
  </si>
  <si>
    <t>Гкал</t>
  </si>
  <si>
    <t>Руководитель отдела</t>
  </si>
  <si>
    <t>Куратор по направлению</t>
  </si>
  <si>
    <t>И.И. Иванов</t>
  </si>
  <si>
    <t>П.П. Петров</t>
  </si>
  <si>
    <t>С.С. Сидоров</t>
  </si>
  <si>
    <t>Экономический отдел</t>
  </si>
  <si>
    <t>Начальник финансового отдела</t>
  </si>
  <si>
    <t>АО "Мособлэнерго"</t>
  </si>
  <si>
    <t>084574</t>
  </si>
  <si>
    <t>Банк ГПБ (АО) г.Москва</t>
  </si>
  <si>
    <t>5840164</t>
  </si>
  <si>
    <t>54123а</t>
  </si>
  <si>
    <t>24</t>
  </si>
  <si>
    <t>35405424</t>
  </si>
  <si>
    <t>ПАО «Россети Московский регион»</t>
  </si>
  <si>
    <t>ПАО Сбербанк, г. Москва</t>
  </si>
  <si>
    <t>АО «Мосводоканал»</t>
  </si>
  <si>
    <t>теплоснабжение</t>
  </si>
  <si>
    <t>газоснабжение</t>
  </si>
  <si>
    <t>№ договора</t>
  </si>
  <si>
    <t xml:space="preserve">Амурская область </t>
  </si>
  <si>
    <t xml:space="preserve">Архангельская область </t>
  </si>
  <si>
    <t xml:space="preserve">Астраханская область </t>
  </si>
  <si>
    <t xml:space="preserve">Белгородская область </t>
  </si>
  <si>
    <t xml:space="preserve">Брянская область </t>
  </si>
  <si>
    <t xml:space="preserve">Челябинская область </t>
  </si>
  <si>
    <t xml:space="preserve">Иркутская область </t>
  </si>
  <si>
    <t xml:space="preserve">Ивановская область </t>
  </si>
  <si>
    <t xml:space="preserve">Калининградская область </t>
  </si>
  <si>
    <t xml:space="preserve">Калужская область </t>
  </si>
  <si>
    <t xml:space="preserve">Кемеровская область </t>
  </si>
  <si>
    <t xml:space="preserve">Кировская область </t>
  </si>
  <si>
    <t xml:space="preserve">Костромская область </t>
  </si>
  <si>
    <t xml:space="preserve">Курганская область </t>
  </si>
  <si>
    <t xml:space="preserve">Курская область </t>
  </si>
  <si>
    <t xml:space="preserve">Ленинградская область </t>
  </si>
  <si>
    <t xml:space="preserve">Липецкая область </t>
  </si>
  <si>
    <t xml:space="preserve">Магаданская область </t>
  </si>
  <si>
    <t xml:space="preserve">Московская область </t>
  </si>
  <si>
    <t xml:space="preserve">Мурманская область </t>
  </si>
  <si>
    <t xml:space="preserve">Нижегородская область </t>
  </si>
  <si>
    <t xml:space="preserve">Новгородская область </t>
  </si>
  <si>
    <t xml:space="preserve">Новосибирская область </t>
  </si>
  <si>
    <t xml:space="preserve">Омская область </t>
  </si>
  <si>
    <t xml:space="preserve">Оренбургская область </t>
  </si>
  <si>
    <t xml:space="preserve">Орловская область </t>
  </si>
  <si>
    <t xml:space="preserve">Пензенская область </t>
  </si>
  <si>
    <t xml:space="preserve">Псковская область </t>
  </si>
  <si>
    <t xml:space="preserve">Ростовская область </t>
  </si>
  <si>
    <t xml:space="preserve">Рязанская область </t>
  </si>
  <si>
    <t xml:space="preserve">Сахалинская область </t>
  </si>
  <si>
    <t xml:space="preserve">Самарская область </t>
  </si>
  <si>
    <t xml:space="preserve">Саратовская область </t>
  </si>
  <si>
    <t xml:space="preserve">Смоленская область </t>
  </si>
  <si>
    <t xml:space="preserve">Свердловская область </t>
  </si>
  <si>
    <t xml:space="preserve">Тамбовская область </t>
  </si>
  <si>
    <t xml:space="preserve">Томская область </t>
  </si>
  <si>
    <t xml:space="preserve">Тверская область </t>
  </si>
  <si>
    <t xml:space="preserve">Тульская область </t>
  </si>
  <si>
    <t xml:space="preserve">Тюменская область </t>
  </si>
  <si>
    <t xml:space="preserve">Ульяновская область </t>
  </si>
  <si>
    <t xml:space="preserve">Владимирская область </t>
  </si>
  <si>
    <t xml:space="preserve">Волгоградская область </t>
  </si>
  <si>
    <t xml:space="preserve">Вологодская область </t>
  </si>
  <si>
    <t xml:space="preserve">Воронежская область </t>
  </si>
  <si>
    <t>Ярославская область</t>
  </si>
  <si>
    <t>Афанасьев Д.Б.</t>
  </si>
  <si>
    <t>Быков С.В.</t>
  </si>
  <si>
    <t>Зимин С.Я.</t>
  </si>
  <si>
    <t>Поляков А.Ф.</t>
  </si>
  <si>
    <t>Гусев И.Х.</t>
  </si>
  <si>
    <t>Константинов В.Т.</t>
  </si>
  <si>
    <t>Пестов К.А.</t>
  </si>
  <si>
    <t>Котов О.К.</t>
  </si>
  <si>
    <t>Муравьёв А.Г.</t>
  </si>
  <si>
    <t>Андреев И.Э.</t>
  </si>
  <si>
    <t>Сафонов У.Н.</t>
  </si>
  <si>
    <t>Селиверстов А.Р.</t>
  </si>
  <si>
    <t>Комаров Ю.Д.</t>
  </si>
  <si>
    <t>Костин М.С.</t>
  </si>
  <si>
    <t>Беспалов Ф.О.</t>
  </si>
  <si>
    <t>Игнатов М.Ф.</t>
  </si>
  <si>
    <t>Виноградов О.Ф.</t>
  </si>
  <si>
    <t>Панов Р.П.</t>
  </si>
  <si>
    <t>Беспалов И.Б.</t>
  </si>
  <si>
    <t>Белозёров В.П.</t>
  </si>
  <si>
    <t>Зайцев Б.Ф.</t>
  </si>
  <si>
    <t>Романов И.Д.</t>
  </si>
  <si>
    <t>Власов Г.П.</t>
  </si>
  <si>
    <t>Авдеев Т.Р.</t>
  </si>
  <si>
    <t>Тарасов Н.Р.</t>
  </si>
  <si>
    <t>Рыбаков И.П.</t>
  </si>
  <si>
    <t>Павлов С.Д.</t>
  </si>
  <si>
    <t>Федотов П.А.</t>
  </si>
  <si>
    <t>Соловьёв В.О.</t>
  </si>
  <si>
    <t>Носов К.Б.</t>
  </si>
  <si>
    <t>Терентьев В.Д.</t>
  </si>
  <si>
    <t>Морозов А.С.</t>
  </si>
  <si>
    <t>Колесников Л.А.</t>
  </si>
  <si>
    <t>Некрасов В.А.</t>
  </si>
  <si>
    <t>Власов А.Ю.</t>
  </si>
  <si>
    <t>Копылов Г.Я.</t>
  </si>
  <si>
    <t>Макаров В.Э.</t>
  </si>
  <si>
    <t>Мартынов А.А.</t>
  </si>
  <si>
    <t>Прохоров Б.Э.</t>
  </si>
  <si>
    <t>Комаров Т.Ф.</t>
  </si>
  <si>
    <t>Комиссаров П.Б.</t>
  </si>
  <si>
    <t>Жуков Э.А.</t>
  </si>
  <si>
    <t>Лазарев Л.В.</t>
  </si>
  <si>
    <t>Морозов Л.Р.</t>
  </si>
  <si>
    <t>Данилов А.Л.</t>
  </si>
  <si>
    <t>Горбачёв П.Ф.</t>
  </si>
</sst>
</file>

<file path=xl/styles.xml><?xml version="1.0" encoding="utf-8"?>
<styleSheet xmlns="http://schemas.openxmlformats.org/spreadsheetml/2006/main">
  <numFmts count="3">
    <numFmt numFmtId="164" formatCode="000"/>
    <numFmt numFmtId="165" formatCode="_(* #,##0.00_);_(* \(#,##0.00\);_(* &quot;-&quot;??_);_(@_)"/>
    <numFmt numFmtId="166" formatCode="#,##0.000"/>
  </numFmts>
  <fonts count="24">
    <font>
      <sz val="11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sz val="10"/>
      <name val="Helv"/>
    </font>
    <font>
      <sz val="10"/>
      <name val="Helv"/>
      <charset val="204"/>
    </font>
    <font>
      <sz val="10"/>
      <name val="Arial Cyr"/>
      <charset val="204"/>
    </font>
    <font>
      <b/>
      <sz val="14"/>
      <name val="Franklin Gothic Medium"/>
      <family val="2"/>
      <charset val="204"/>
    </font>
    <font>
      <b/>
      <sz val="9"/>
      <name val="Tahoma"/>
      <family val="2"/>
      <charset val="204"/>
    </font>
    <font>
      <sz val="9"/>
      <name val="Tahoma"/>
      <family val="2"/>
      <charset val="204"/>
    </font>
    <font>
      <b/>
      <sz val="11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b/>
      <vertAlign val="superscript"/>
      <sz val="10"/>
      <color theme="1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11"/>
      <color rgb="FF000000"/>
      <name val="Times New Roman"/>
      <family val="1"/>
      <charset val="204"/>
    </font>
    <font>
      <b/>
      <sz val="11"/>
      <color rgb="FF000000"/>
      <name val="Times New Roman"/>
      <family val="1"/>
      <charset val="204"/>
    </font>
    <font>
      <sz val="8"/>
      <color rgb="FF000000"/>
      <name val="Times New Roman"/>
      <family val="1"/>
      <charset val="204"/>
    </font>
    <font>
      <vertAlign val="superscript"/>
      <sz val="11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i/>
      <sz val="11"/>
      <color theme="1"/>
      <name val="Times New Roman"/>
      <family val="1"/>
      <charset val="204"/>
    </font>
    <font>
      <b/>
      <sz val="18"/>
      <color theme="1"/>
      <name val="Times New Roman"/>
      <family val="1"/>
      <charset val="204"/>
    </font>
    <font>
      <sz val="9"/>
      <color theme="1"/>
      <name val="Times New Roman"/>
      <family val="1"/>
      <charset val="204"/>
    </font>
    <font>
      <sz val="11"/>
      <color rgb="FFFF0000"/>
      <name val="Times New Roman"/>
      <family val="1"/>
      <charset val="204"/>
    </font>
    <font>
      <sz val="11"/>
      <name val="Times New Roman"/>
      <family val="1"/>
      <charset val="204"/>
    </font>
    <font>
      <sz val="8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theme="0" tint="-4.9989318521683403E-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7">
    <xf numFmtId="0" fontId="0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3" fillId="0" borderId="0"/>
    <xf numFmtId="0" fontId="3" fillId="0" borderId="0"/>
    <xf numFmtId="0" fontId="3" fillId="0" borderId="0"/>
    <xf numFmtId="0" fontId="5" fillId="0" borderId="0" applyBorder="0">
      <alignment horizontal="center" vertical="center" wrapText="1"/>
    </xf>
    <xf numFmtId="0" fontId="6" fillId="0" borderId="2" applyBorder="0">
      <alignment horizontal="center" vertical="center" wrapText="1"/>
    </xf>
    <xf numFmtId="4" fontId="7" fillId="2" borderId="1" applyFill="0" applyBorder="0">
      <alignment horizontal="right"/>
    </xf>
    <xf numFmtId="0" fontId="2" fillId="0" borderId="0"/>
    <xf numFmtId="165" fontId="1" fillId="0" borderId="0" applyFont="0" applyFill="0" applyBorder="0" applyAlignment="0" applyProtection="0"/>
    <xf numFmtId="0" fontId="1" fillId="0" borderId="0"/>
    <xf numFmtId="0" fontId="4" fillId="0" borderId="0"/>
    <xf numFmtId="0" fontId="4" fillId="0" borderId="0"/>
    <xf numFmtId="0" fontId="1" fillId="0" borderId="0"/>
  </cellStyleXfs>
  <cellXfs count="108">
    <xf numFmtId="0" fontId="0" fillId="0" borderId="0" xfId="0"/>
    <xf numFmtId="0" fontId="9" fillId="0" borderId="0" xfId="0" applyFont="1"/>
    <xf numFmtId="14" fontId="9" fillId="0" borderId="0" xfId="0" applyNumberFormat="1" applyFont="1"/>
    <xf numFmtId="4" fontId="9" fillId="0" borderId="0" xfId="0" applyNumberFormat="1" applyFont="1"/>
    <xf numFmtId="49" fontId="9" fillId="0" borderId="0" xfId="0" applyNumberFormat="1" applyFont="1" applyAlignment="1">
      <alignment horizontal="center"/>
    </xf>
    <xf numFmtId="49" fontId="10" fillId="0" borderId="1" xfId="0" applyNumberFormat="1" applyFont="1" applyBorder="1" applyAlignment="1">
      <alignment horizontal="center" vertical="center" wrapText="1"/>
    </xf>
    <xf numFmtId="0" fontId="12" fillId="0" borderId="0" xfId="0" applyFont="1"/>
    <xf numFmtId="49" fontId="9" fillId="0" borderId="0" xfId="0" applyNumberFormat="1" applyFont="1"/>
    <xf numFmtId="0" fontId="9" fillId="0" borderId="1" xfId="0" applyFont="1" applyBorder="1"/>
    <xf numFmtId="4" fontId="9" fillId="0" borderId="1" xfId="0" applyNumberFormat="1" applyFont="1" applyBorder="1"/>
    <xf numFmtId="0" fontId="9" fillId="0" borderId="0" xfId="0" applyFont="1" applyAlignment="1">
      <alignment vertical="center"/>
    </xf>
    <xf numFmtId="3" fontId="9" fillId="0" borderId="0" xfId="0" applyNumberFormat="1" applyFont="1"/>
    <xf numFmtId="49" fontId="8" fillId="0" borderId="1" xfId="0" applyNumberFormat="1" applyFont="1" applyBorder="1" applyAlignment="1">
      <alignment horizontal="center" vertical="center" wrapText="1"/>
    </xf>
    <xf numFmtId="0" fontId="9" fillId="0" borderId="1" xfId="0" applyFont="1" applyBorder="1" applyAlignment="1">
      <alignment vertical="center"/>
    </xf>
    <xf numFmtId="49" fontId="9" fillId="0" borderId="1" xfId="0" applyNumberFormat="1" applyFont="1" applyBorder="1" applyAlignment="1">
      <alignment horizontal="center" vertical="center"/>
    </xf>
    <xf numFmtId="0" fontId="9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vertical="center"/>
    </xf>
    <xf numFmtId="14" fontId="9" fillId="0" borderId="1" xfId="0" applyNumberFormat="1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49" fontId="9" fillId="0" borderId="0" xfId="0" applyNumberFormat="1" applyFont="1" applyAlignment="1">
      <alignment wrapText="1"/>
    </xf>
    <xf numFmtId="0" fontId="9" fillId="0" borderId="0" xfId="0" applyNumberFormat="1" applyFont="1" applyAlignment="1">
      <alignment horizontal="center"/>
    </xf>
    <xf numFmtId="49" fontId="21" fillId="0" borderId="1" xfId="0" applyNumberFormat="1" applyFont="1" applyBorder="1" applyAlignment="1">
      <alignment vertical="center"/>
    </xf>
    <xf numFmtId="0" fontId="22" fillId="0" borderId="1" xfId="0" applyFont="1" applyBorder="1" applyAlignment="1">
      <alignment vertical="center"/>
    </xf>
    <xf numFmtId="49" fontId="22" fillId="0" borderId="1" xfId="0" applyNumberFormat="1" applyFont="1" applyBorder="1" applyAlignment="1">
      <alignment horizontal="center" vertical="center"/>
    </xf>
    <xf numFmtId="14" fontId="22" fillId="0" borderId="1" xfId="0" applyNumberFormat="1" applyFont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right" vertical="center"/>
    </xf>
    <xf numFmtId="0" fontId="20" fillId="0" borderId="1" xfId="0" applyFont="1" applyBorder="1"/>
    <xf numFmtId="0" fontId="9" fillId="0" borderId="1" xfId="0" applyFont="1" applyBorder="1" applyAlignment="1">
      <alignment vertical="top"/>
    </xf>
    <xf numFmtId="14" fontId="9" fillId="0" borderId="1" xfId="0" applyNumberFormat="1" applyFont="1" applyBorder="1" applyAlignment="1">
      <alignment vertical="top"/>
    </xf>
    <xf numFmtId="0" fontId="9" fillId="0" borderId="1" xfId="0" applyFont="1" applyBorder="1" applyAlignment="1">
      <alignment horizontal="left" vertical="top"/>
    </xf>
    <xf numFmtId="4" fontId="9" fillId="0" borderId="1" xfId="0" applyNumberFormat="1" applyFont="1" applyBorder="1" applyAlignment="1">
      <alignment vertical="top"/>
    </xf>
    <xf numFmtId="3" fontId="9" fillId="3" borderId="1" xfId="0" applyNumberFormat="1" applyFont="1" applyFill="1" applyBorder="1" applyAlignment="1">
      <alignment horizontal="right" vertical="top"/>
    </xf>
    <xf numFmtId="4" fontId="9" fillId="3" borderId="1" xfId="0" applyNumberFormat="1" applyFont="1" applyFill="1" applyBorder="1" applyAlignment="1">
      <alignment horizontal="right" vertical="top"/>
    </xf>
    <xf numFmtId="4" fontId="9" fillId="0" borderId="1" xfId="0" applyNumberFormat="1" applyFont="1" applyBorder="1" applyAlignment="1">
      <alignment horizontal="right" vertical="top"/>
    </xf>
    <xf numFmtId="49" fontId="9" fillId="0" borderId="1" xfId="0" applyNumberFormat="1" applyFont="1" applyBorder="1" applyAlignment="1">
      <alignment vertical="top"/>
    </xf>
    <xf numFmtId="0" fontId="20" fillId="0" borderId="1" xfId="0" applyFont="1" applyBorder="1" applyAlignment="1">
      <alignment vertical="top"/>
    </xf>
    <xf numFmtId="0" fontId="20" fillId="0" borderId="1" xfId="0" applyFont="1" applyBorder="1" applyAlignment="1">
      <alignment vertical="top" wrapText="1"/>
    </xf>
    <xf numFmtId="0" fontId="9" fillId="0" borderId="1" xfId="0" applyNumberFormat="1" applyFont="1" applyBorder="1" applyAlignment="1">
      <alignment horizontal="center" vertical="top"/>
    </xf>
    <xf numFmtId="0" fontId="9" fillId="0" borderId="0" xfId="0" applyFont="1" applyAlignment="1">
      <alignment wrapText="1"/>
    </xf>
    <xf numFmtId="4" fontId="10" fillId="0" borderId="1" xfId="0" applyNumberFormat="1" applyFont="1" applyBorder="1" applyAlignment="1">
      <alignment horizontal="center" vertical="center" wrapText="1"/>
    </xf>
    <xf numFmtId="49" fontId="22" fillId="0" borderId="1" xfId="0" applyNumberFormat="1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top"/>
    </xf>
    <xf numFmtId="49" fontId="9" fillId="0" borderId="1" xfId="0" applyNumberFormat="1" applyFont="1" applyBorder="1" applyAlignment="1">
      <alignment horizontal="center" vertical="top"/>
    </xf>
    <xf numFmtId="4" fontId="9" fillId="0" borderId="1" xfId="0" applyNumberFormat="1" applyFont="1" applyBorder="1" applyAlignment="1">
      <alignment horizontal="right" vertical="top" wrapText="1"/>
    </xf>
    <xf numFmtId="4" fontId="9" fillId="0" borderId="1" xfId="0" applyNumberFormat="1" applyFont="1" applyFill="1" applyBorder="1" applyAlignment="1">
      <alignment horizontal="right" vertical="top"/>
    </xf>
    <xf numFmtId="4" fontId="22" fillId="0" borderId="1" xfId="0" applyNumberFormat="1" applyFont="1" applyFill="1" applyBorder="1" applyAlignment="1">
      <alignment vertical="top"/>
    </xf>
    <xf numFmtId="0" fontId="9" fillId="0" borderId="1" xfId="0" applyFont="1" applyBorder="1" applyAlignment="1">
      <alignment horizontal="left"/>
    </xf>
    <xf numFmtId="14" fontId="9" fillId="0" borderId="1" xfId="0" applyNumberFormat="1" applyFont="1" applyBorder="1" applyAlignment="1">
      <alignment horizontal="left" vertical="top"/>
    </xf>
    <xf numFmtId="0" fontId="20" fillId="0" borderId="1" xfId="0" applyFont="1" applyBorder="1" applyAlignment="1">
      <alignment horizontal="left" vertical="top" wrapText="1"/>
    </xf>
    <xf numFmtId="14" fontId="9" fillId="0" borderId="1" xfId="0" applyNumberFormat="1" applyFont="1" applyBorder="1" applyAlignment="1">
      <alignment horizontal="right" vertical="top"/>
    </xf>
    <xf numFmtId="0" fontId="9" fillId="0" borderId="1" xfId="0" applyFont="1" applyBorder="1" applyAlignment="1">
      <alignment horizontal="right" vertical="top"/>
    </xf>
    <xf numFmtId="0" fontId="20" fillId="0" borderId="1" xfId="0" applyFont="1" applyBorder="1" applyAlignment="1">
      <alignment horizontal="left" vertical="top"/>
    </xf>
    <xf numFmtId="49" fontId="9" fillId="0" borderId="1" xfId="0" applyNumberFormat="1" applyFont="1" applyBorder="1" applyAlignment="1">
      <alignment horizontal="left" vertical="top" wrapText="1"/>
    </xf>
    <xf numFmtId="166" fontId="9" fillId="0" borderId="1" xfId="0" applyNumberFormat="1" applyFont="1" applyBorder="1" applyAlignment="1">
      <alignment horizontal="right" vertical="top"/>
    </xf>
    <xf numFmtId="4" fontId="23" fillId="0" borderId="1" xfId="0" applyNumberFormat="1" applyFont="1" applyBorder="1" applyAlignment="1">
      <alignment horizontal="right" vertical="top"/>
    </xf>
    <xf numFmtId="4" fontId="9" fillId="0" borderId="1" xfId="0" applyNumberFormat="1" applyFont="1" applyBorder="1" applyAlignment="1">
      <alignment horizontal="left" vertical="top"/>
    </xf>
    <xf numFmtId="14" fontId="9" fillId="0" borderId="1" xfId="0" applyNumberFormat="1" applyFont="1" applyBorder="1"/>
    <xf numFmtId="14" fontId="9" fillId="0" borderId="1" xfId="0" applyNumberFormat="1" applyFont="1" applyBorder="1" applyAlignment="1">
      <alignment horizontal="right"/>
    </xf>
    <xf numFmtId="3" fontId="9" fillId="0" borderId="1" xfId="0" applyNumberFormat="1" applyFont="1" applyBorder="1"/>
    <xf numFmtId="49" fontId="9" fillId="0" borderId="1" xfId="0" applyNumberFormat="1" applyFont="1" applyBorder="1"/>
    <xf numFmtId="0" fontId="9" fillId="0" borderId="1" xfId="0" applyNumberFormat="1" applyFont="1" applyBorder="1" applyAlignment="1">
      <alignment horizontal="center"/>
    </xf>
    <xf numFmtId="49" fontId="9" fillId="0" borderId="1" xfId="0" applyNumberFormat="1" applyFont="1" applyBorder="1" applyAlignment="1">
      <alignment horizontal="center"/>
    </xf>
    <xf numFmtId="0" fontId="9" fillId="0" borderId="1" xfId="0" applyFont="1" applyBorder="1" applyAlignment="1">
      <alignment horizontal="right"/>
    </xf>
    <xf numFmtId="4" fontId="9" fillId="0" borderId="1" xfId="0" applyNumberFormat="1" applyFont="1" applyBorder="1" applyAlignment="1"/>
    <xf numFmtId="1" fontId="9" fillId="0" borderId="0" xfId="0" applyNumberFormat="1" applyFont="1"/>
    <xf numFmtId="1" fontId="9" fillId="0" borderId="1" xfId="0" applyNumberFormat="1" applyFont="1" applyBorder="1" applyAlignment="1">
      <alignment horizontal="center" vertical="center"/>
    </xf>
    <xf numFmtId="3" fontId="9" fillId="0" borderId="1" xfId="0" applyNumberFormat="1" applyFont="1" applyFill="1" applyBorder="1" applyAlignment="1">
      <alignment horizontal="right" vertical="top"/>
    </xf>
    <xf numFmtId="164" fontId="10" fillId="0" borderId="6" xfId="0" applyNumberFormat="1" applyFont="1" applyBorder="1" applyAlignment="1">
      <alignment horizontal="center" vertical="center" wrapText="1"/>
    </xf>
    <xf numFmtId="0" fontId="0" fillId="0" borderId="7" xfId="0" applyBorder="1"/>
    <xf numFmtId="14" fontId="10" fillId="0" borderId="1" xfId="0" applyNumberFormat="1" applyFont="1" applyBorder="1" applyAlignment="1">
      <alignment horizontal="center" vertical="center" wrapText="1"/>
    </xf>
    <xf numFmtId="4" fontId="10" fillId="0" borderId="1" xfId="0" applyNumberFormat="1" applyFont="1" applyBorder="1" applyAlignment="1">
      <alignment horizontal="center" vertical="center" wrapText="1"/>
    </xf>
    <xf numFmtId="4" fontId="10" fillId="0" borderId="6" xfId="0" applyNumberFormat="1" applyFont="1" applyBorder="1" applyAlignment="1">
      <alignment horizontal="center" vertical="center" wrapText="1"/>
    </xf>
    <xf numFmtId="4" fontId="10" fillId="0" borderId="7" xfId="0" applyNumberFormat="1" applyFont="1" applyBorder="1" applyAlignment="1">
      <alignment horizontal="center" vertical="center" wrapText="1"/>
    </xf>
    <xf numFmtId="3" fontId="10" fillId="0" borderId="6" xfId="0" applyNumberFormat="1" applyFont="1" applyBorder="1" applyAlignment="1">
      <alignment horizontal="center" vertical="center" wrapText="1"/>
    </xf>
    <xf numFmtId="3" fontId="10" fillId="0" borderId="7" xfId="0" applyNumberFormat="1" applyFont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/>
    </xf>
    <xf numFmtId="49" fontId="10" fillId="0" borderId="1" xfId="0" applyNumberFormat="1" applyFont="1" applyBorder="1" applyAlignment="1">
      <alignment horizontal="center" vertical="center" wrapText="1"/>
    </xf>
    <xf numFmtId="0" fontId="10" fillId="0" borderId="1" xfId="0" applyNumberFormat="1" applyFont="1" applyBorder="1" applyAlignment="1">
      <alignment horizontal="center" vertical="center" wrapText="1"/>
    </xf>
    <xf numFmtId="14" fontId="10" fillId="0" borderId="6" xfId="0" applyNumberFormat="1" applyFont="1" applyBorder="1" applyAlignment="1">
      <alignment horizontal="center" vertical="center" wrapText="1"/>
    </xf>
    <xf numFmtId="14" fontId="10" fillId="0" borderId="7" xfId="0" applyNumberFormat="1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8" fillId="0" borderId="6" xfId="0" applyFont="1" applyBorder="1" applyAlignment="1">
      <alignment horizontal="center" vertical="center" wrapText="1"/>
    </xf>
    <xf numFmtId="0" fontId="8" fillId="0" borderId="7" xfId="0" applyFont="1" applyBorder="1" applyAlignment="1">
      <alignment horizontal="center" vertical="center" wrapText="1"/>
    </xf>
    <xf numFmtId="49" fontId="8" fillId="0" borderId="6" xfId="0" applyNumberFormat="1" applyFont="1" applyBorder="1" applyAlignment="1">
      <alignment horizontal="center" vertical="center" wrapText="1"/>
    </xf>
    <xf numFmtId="49" fontId="8" fillId="0" borderId="7" xfId="0" applyNumberFormat="1" applyFont="1" applyBorder="1" applyAlignment="1">
      <alignment horizontal="center" vertical="center" wrapText="1"/>
    </xf>
    <xf numFmtId="0" fontId="16" fillId="0" borderId="3" xfId="0" applyFont="1" applyBorder="1" applyAlignment="1">
      <alignment horizontal="center"/>
    </xf>
    <xf numFmtId="0" fontId="17" fillId="0" borderId="0" xfId="0" applyFont="1" applyAlignment="1">
      <alignment horizontal="left" vertical="center" wrapText="1"/>
    </xf>
    <xf numFmtId="0" fontId="16" fillId="0" borderId="0" xfId="0" applyFont="1" applyBorder="1" applyAlignment="1">
      <alignment horizontal="center"/>
    </xf>
    <xf numFmtId="0" fontId="9" fillId="0" borderId="0" xfId="0" applyFont="1" applyAlignment="1">
      <alignment horizontal="center"/>
    </xf>
    <xf numFmtId="0" fontId="8" fillId="0" borderId="4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13" fillId="0" borderId="1" xfId="0" applyFont="1" applyBorder="1" applyAlignment="1">
      <alignment horizontal="left" vertical="top" wrapText="1"/>
    </xf>
    <xf numFmtId="49" fontId="18" fillId="0" borderId="1" xfId="0" applyNumberFormat="1" applyFont="1" applyBorder="1" applyAlignment="1">
      <alignment horizontal="left" vertical="center" wrapText="1"/>
    </xf>
    <xf numFmtId="0" fontId="13" fillId="0" borderId="0" xfId="0" applyFont="1" applyAlignment="1">
      <alignment horizontal="left"/>
    </xf>
    <xf numFmtId="0" fontId="18" fillId="0" borderId="5" xfId="0" applyFont="1" applyBorder="1" applyAlignment="1">
      <alignment horizontal="left" vertical="center" wrapText="1"/>
    </xf>
    <xf numFmtId="0" fontId="13" fillId="0" borderId="0" xfId="0" applyFont="1" applyBorder="1" applyAlignment="1">
      <alignment horizontal="left"/>
    </xf>
    <xf numFmtId="0" fontId="18" fillId="0" borderId="0" xfId="0" applyFont="1" applyAlignment="1">
      <alignment horizontal="left" vertical="center" wrapText="1"/>
    </xf>
    <xf numFmtId="0" fontId="13" fillId="0" borderId="0" xfId="0" applyFont="1" applyAlignment="1">
      <alignment horizontal="left" vertical="top" wrapText="1"/>
    </xf>
    <xf numFmtId="0" fontId="13" fillId="0" borderId="0" xfId="0" applyFont="1" applyAlignment="1">
      <alignment horizontal="left" wrapText="1"/>
    </xf>
    <xf numFmtId="1" fontId="18" fillId="0" borderId="5" xfId="0" applyNumberFormat="1" applyFont="1" applyBorder="1" applyAlignment="1">
      <alignment horizontal="left" vertical="center" wrapText="1"/>
    </xf>
    <xf numFmtId="4" fontId="18" fillId="0" borderId="5" xfId="0" applyNumberFormat="1" applyFont="1" applyBorder="1" applyAlignment="1">
      <alignment horizontal="left" vertical="center" wrapText="1"/>
    </xf>
    <xf numFmtId="0" fontId="19" fillId="0" borderId="0" xfId="0" applyFont="1" applyAlignment="1">
      <alignment horizontal="center" vertical="center"/>
    </xf>
    <xf numFmtId="0" fontId="16" fillId="0" borderId="0" xfId="0" applyFont="1" applyAlignment="1">
      <alignment horizontal="center"/>
    </xf>
    <xf numFmtId="14" fontId="18" fillId="0" borderId="0" xfId="0" applyNumberFormat="1" applyFont="1" applyBorder="1" applyAlignment="1">
      <alignment horizontal="left" vertical="center" wrapText="1"/>
    </xf>
  </cellXfs>
  <cellStyles count="17">
    <cellStyle name=" 1" xfId="2"/>
    <cellStyle name="_! Капремонт" xfId="3"/>
    <cellStyle name="_ВМГК_План закупок ОС на 2006г." xfId="4"/>
    <cellStyle name="_Налог на имущество" xfId="5"/>
    <cellStyle name="_НИ2008" xfId="6"/>
    <cellStyle name="_Транспортный_налог" xfId="7"/>
    <cellStyle name="Заголовок" xfId="8"/>
    <cellStyle name="ЗаголовокСтолбца" xfId="9"/>
    <cellStyle name="Значение_GRO.2008" xfId="10"/>
    <cellStyle name="Обычный" xfId="0" builtinId="0"/>
    <cellStyle name="Обычный 100" xfId="14"/>
    <cellStyle name="Обычный 2" xfId="13"/>
    <cellStyle name="Обычный 2 5 5" xfId="15"/>
    <cellStyle name="Обычный 3" xfId="1"/>
    <cellStyle name="Обычный 4 2 2 3" xfId="16"/>
    <cellStyle name="Стиль 1" xfId="11"/>
    <cellStyle name="Финансовый 2" xfId="1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>
    <tabColor rgb="FF92D050"/>
    <pageSetUpPr fitToPage="1"/>
  </sheetPr>
  <dimension ref="A1:T89"/>
  <sheetViews>
    <sheetView tabSelected="1" workbookViewId="0">
      <pane ySplit="2" topLeftCell="A3" activePane="bottomLeft" state="frozen"/>
      <selection pane="bottomLeft" activeCell="J7" sqref="J7"/>
    </sheetView>
  </sheetViews>
  <sheetFormatPr defaultColWidth="9.140625" defaultRowHeight="15"/>
  <cols>
    <col min="1" max="1" width="6.7109375" style="1" customWidth="1"/>
    <col min="2" max="2" width="10.7109375" style="2" customWidth="1"/>
    <col min="3" max="4" width="12.28515625" style="1" customWidth="1"/>
    <col min="5" max="5" width="10.7109375" style="2" customWidth="1"/>
    <col min="6" max="6" width="9.28515625" style="3" customWidth="1"/>
    <col min="7" max="7" width="7" style="11" customWidth="1"/>
    <col min="8" max="8" width="12.7109375" style="3" customWidth="1"/>
    <col min="9" max="11" width="10.85546875" style="3" customWidth="1"/>
    <col min="12" max="12" width="7.140625" style="7" customWidth="1"/>
    <col min="13" max="13" width="10.7109375" style="2" customWidth="1"/>
    <col min="14" max="14" width="11.85546875" style="21" customWidth="1"/>
    <col min="15" max="15" width="22.140625" style="1" customWidth="1"/>
    <col min="16" max="16" width="18.42578125" style="1" customWidth="1"/>
    <col min="17" max="18" width="9.140625" style="1"/>
    <col min="19" max="19" width="12.5703125" style="1" customWidth="1"/>
    <col min="20" max="20" width="12.28515625" style="1" customWidth="1"/>
    <col min="21" max="16384" width="9.140625" style="1"/>
  </cols>
  <sheetData>
    <row r="1" spans="1:20" s="6" customFormat="1" ht="20.100000000000001" customHeight="1">
      <c r="A1" s="68" t="s">
        <v>0</v>
      </c>
      <c r="B1" s="70" t="s">
        <v>1</v>
      </c>
      <c r="C1" s="77" t="s">
        <v>6</v>
      </c>
      <c r="D1" s="77"/>
      <c r="E1" s="70" t="s">
        <v>7</v>
      </c>
      <c r="F1" s="71" t="s">
        <v>4</v>
      </c>
      <c r="G1" s="74" t="s">
        <v>12</v>
      </c>
      <c r="H1" s="72" t="s">
        <v>40</v>
      </c>
      <c r="I1" s="71" t="s">
        <v>46</v>
      </c>
      <c r="J1" s="71"/>
      <c r="K1" s="71"/>
      <c r="L1" s="78" t="s">
        <v>5</v>
      </c>
      <c r="M1" s="80" t="s">
        <v>10</v>
      </c>
      <c r="N1" s="79" t="s">
        <v>75</v>
      </c>
      <c r="O1" s="77" t="s">
        <v>20</v>
      </c>
      <c r="P1" s="76" t="s">
        <v>31</v>
      </c>
    </row>
    <row r="2" spans="1:20" s="6" customFormat="1" ht="42" customHeight="1">
      <c r="A2" s="69"/>
      <c r="B2" s="70"/>
      <c r="C2" s="5" t="s">
        <v>2</v>
      </c>
      <c r="D2" s="5" t="s">
        <v>3</v>
      </c>
      <c r="E2" s="70"/>
      <c r="F2" s="71"/>
      <c r="G2" s="75"/>
      <c r="H2" s="73"/>
      <c r="I2" s="40" t="s">
        <v>48</v>
      </c>
      <c r="J2" s="40" t="s">
        <v>49</v>
      </c>
      <c r="K2" s="40" t="s">
        <v>50</v>
      </c>
      <c r="L2" s="78"/>
      <c r="M2" s="81"/>
      <c r="N2" s="79"/>
      <c r="O2" s="77"/>
      <c r="P2" s="76"/>
    </row>
    <row r="3" spans="1:20">
      <c r="A3" s="28">
        <v>1</v>
      </c>
      <c r="B3" s="29">
        <f ca="1">TODAY()-RANDBETWEEN(15,31)</f>
        <v>44563</v>
      </c>
      <c r="C3" s="30">
        <f ca="1">RANDBETWEEN(5745454,24054584054)</f>
        <v>20335696388</v>
      </c>
      <c r="D3" s="30"/>
      <c r="E3" s="29">
        <f ca="1">B3-RANDBETWEEN(14,30)</f>
        <v>44539</v>
      </c>
      <c r="F3" s="31">
        <f ca="1">RANDBETWEEN(100000,10000000)/100</f>
        <v>7854.51</v>
      </c>
      <c r="G3" s="32">
        <v>0</v>
      </c>
      <c r="H3" s="33">
        <f ca="1">ROUND(F3-F3/((100+G3)/100),2)</f>
        <v>0</v>
      </c>
      <c r="I3" s="34">
        <f ca="1">RANDBETWEEN(25,100)</f>
        <v>39</v>
      </c>
      <c r="J3" s="34"/>
      <c r="K3" s="34">
        <f ca="1">I3*1.05</f>
        <v>40.950000000000003</v>
      </c>
      <c r="L3" s="35" t="s">
        <v>47</v>
      </c>
      <c r="M3" s="29">
        <f ca="1">B3+14</f>
        <v>44577</v>
      </c>
      <c r="N3" s="14" t="s">
        <v>64</v>
      </c>
      <c r="O3" s="36" t="s">
        <v>76</v>
      </c>
      <c r="P3" s="28" t="s">
        <v>122</v>
      </c>
    </row>
    <row r="4" spans="1:20">
      <c r="A4" s="28">
        <v>2</v>
      </c>
      <c r="B4" s="29">
        <f t="shared" ref="B4:B48" ca="1" si="0">TODAY()-RANDBETWEEN(15,31)</f>
        <v>44561</v>
      </c>
      <c r="C4" s="30">
        <f t="shared" ref="C4:C11" ca="1" si="1">RANDBETWEEN(5745454,24054584054)</f>
        <v>20433191515</v>
      </c>
      <c r="D4" s="30"/>
      <c r="E4" s="29">
        <f t="shared" ref="E4:E48" ca="1" si="2">B4-RANDBETWEEN(14,30)</f>
        <v>44545</v>
      </c>
      <c r="F4" s="31">
        <f t="shared" ref="F4:F48" ca="1" si="3">RANDBETWEEN(100000,10000000)/100</f>
        <v>43866.55</v>
      </c>
      <c r="G4" s="32">
        <v>20</v>
      </c>
      <c r="H4" s="33">
        <f ca="1">ROUND(F4-F4/((100+G4)/100),2)</f>
        <v>7311.09</v>
      </c>
      <c r="I4" s="34">
        <f t="shared" ref="I4:J17" ca="1" si="4">RANDBETWEEN(25,100)</f>
        <v>81</v>
      </c>
      <c r="J4" s="34"/>
      <c r="K4" s="34">
        <f t="shared" ref="K4:K11" ca="1" si="5">I4*1.05</f>
        <v>85.05</v>
      </c>
      <c r="L4" s="35" t="s">
        <v>51</v>
      </c>
      <c r="M4" s="29">
        <f t="shared" ref="M4:M48" ca="1" si="6">B4+14</f>
        <v>44575</v>
      </c>
      <c r="N4" s="24" t="s">
        <v>66</v>
      </c>
      <c r="O4" s="36" t="s">
        <v>77</v>
      </c>
      <c r="P4" s="28" t="s">
        <v>123</v>
      </c>
    </row>
    <row r="5" spans="1:20">
      <c r="A5" s="28">
        <v>3</v>
      </c>
      <c r="B5" s="29">
        <f t="shared" ca="1" si="0"/>
        <v>44557</v>
      </c>
      <c r="C5" s="30">
        <f t="shared" ca="1" si="1"/>
        <v>9923181654</v>
      </c>
      <c r="D5" s="30"/>
      <c r="E5" s="29">
        <f t="shared" ca="1" si="2"/>
        <v>44527</v>
      </c>
      <c r="F5" s="31">
        <f t="shared" ca="1" si="3"/>
        <v>74878.100000000006</v>
      </c>
      <c r="G5" s="32">
        <v>20</v>
      </c>
      <c r="H5" s="33">
        <v>5592.57</v>
      </c>
      <c r="I5" s="34">
        <f t="shared" ca="1" si="4"/>
        <v>85</v>
      </c>
      <c r="J5" s="34"/>
      <c r="K5" s="34">
        <f t="shared" ca="1" si="5"/>
        <v>89.25</v>
      </c>
      <c r="L5" s="35" t="s">
        <v>51</v>
      </c>
      <c r="M5" s="29">
        <f t="shared" ca="1" si="6"/>
        <v>44571</v>
      </c>
      <c r="N5" s="14" t="s">
        <v>67</v>
      </c>
      <c r="O5" s="36" t="s">
        <v>78</v>
      </c>
      <c r="P5" s="28" t="s">
        <v>124</v>
      </c>
      <c r="S5" s="39"/>
      <c r="T5" s="39"/>
    </row>
    <row r="6" spans="1:20">
      <c r="A6" s="28">
        <v>4</v>
      </c>
      <c r="B6" s="29">
        <f t="shared" ca="1" si="0"/>
        <v>44550</v>
      </c>
      <c r="C6" s="30">
        <f t="shared" ca="1" si="1"/>
        <v>2440509689</v>
      </c>
      <c r="D6" s="30"/>
      <c r="E6" s="29">
        <f t="shared" ca="1" si="2"/>
        <v>44522</v>
      </c>
      <c r="F6" s="31">
        <f t="shared" ca="1" si="3"/>
        <v>30916.18</v>
      </c>
      <c r="G6" s="32">
        <v>20</v>
      </c>
      <c r="H6" s="33">
        <f t="shared" ref="H6:H47" ca="1" si="7">ROUND(F6-F6/((100+G6)/100),2)</f>
        <v>5152.7</v>
      </c>
      <c r="I6" s="34">
        <f t="shared" ca="1" si="4"/>
        <v>69</v>
      </c>
      <c r="J6" s="34"/>
      <c r="K6" s="34">
        <f t="shared" ca="1" si="5"/>
        <v>72.45</v>
      </c>
      <c r="L6" s="35" t="s">
        <v>51</v>
      </c>
      <c r="M6" s="29">
        <f t="shared" ca="1" si="6"/>
        <v>44564</v>
      </c>
      <c r="N6" s="14" t="s">
        <v>64</v>
      </c>
      <c r="O6" s="36" t="s">
        <v>79</v>
      </c>
      <c r="P6" s="28" t="s">
        <v>125</v>
      </c>
    </row>
    <row r="7" spans="1:20">
      <c r="A7" s="28">
        <v>5</v>
      </c>
      <c r="B7" s="29">
        <f t="shared" ca="1" si="0"/>
        <v>44554</v>
      </c>
      <c r="C7" s="30">
        <f t="shared" ca="1" si="1"/>
        <v>21291595492</v>
      </c>
      <c r="D7" s="30"/>
      <c r="E7" s="29">
        <f t="shared" ca="1" si="2"/>
        <v>44534</v>
      </c>
      <c r="F7" s="31">
        <f t="shared" ca="1" si="3"/>
        <v>47233</v>
      </c>
      <c r="G7" s="32">
        <v>20</v>
      </c>
      <c r="H7" s="33">
        <f ca="1">ROUND(F7-F7/((100+G7)/100),2)</f>
        <v>7872.17</v>
      </c>
      <c r="I7" s="34">
        <f t="shared" ca="1" si="4"/>
        <v>97</v>
      </c>
      <c r="J7" s="34"/>
      <c r="K7" s="34">
        <f t="shared" ca="1" si="5"/>
        <v>101.85000000000001</v>
      </c>
      <c r="L7" s="35" t="s">
        <v>51</v>
      </c>
      <c r="M7" s="29">
        <f t="shared" ca="1" si="6"/>
        <v>44568</v>
      </c>
      <c r="N7" s="24" t="s">
        <v>66</v>
      </c>
      <c r="O7" s="36" t="s">
        <v>80</v>
      </c>
      <c r="P7" s="28" t="s">
        <v>126</v>
      </c>
    </row>
    <row r="8" spans="1:20">
      <c r="A8" s="28">
        <v>6</v>
      </c>
      <c r="B8" s="29">
        <f t="shared" ca="1" si="0"/>
        <v>44551</v>
      </c>
      <c r="C8" s="30">
        <f t="shared" ca="1" si="1"/>
        <v>14768022219</v>
      </c>
      <c r="D8" s="30"/>
      <c r="E8" s="29">
        <f t="shared" ca="1" si="2"/>
        <v>44526</v>
      </c>
      <c r="F8" s="31">
        <f t="shared" ca="1" si="3"/>
        <v>75942.33</v>
      </c>
      <c r="G8" s="32">
        <v>20</v>
      </c>
      <c r="H8" s="33">
        <v>77.27</v>
      </c>
      <c r="I8" s="34">
        <f t="shared" ca="1" si="4"/>
        <v>78</v>
      </c>
      <c r="J8" s="34"/>
      <c r="K8" s="34">
        <f t="shared" ca="1" si="5"/>
        <v>81.900000000000006</v>
      </c>
      <c r="L8" s="35" t="s">
        <v>51</v>
      </c>
      <c r="M8" s="29">
        <f t="shared" ca="1" si="6"/>
        <v>44565</v>
      </c>
      <c r="N8" s="14" t="s">
        <v>67</v>
      </c>
      <c r="O8" s="36" t="s">
        <v>81</v>
      </c>
      <c r="P8" s="28" t="s">
        <v>127</v>
      </c>
    </row>
    <row r="9" spans="1:20">
      <c r="A9" s="28">
        <v>7</v>
      </c>
      <c r="B9" s="29">
        <f t="shared" ca="1" si="0"/>
        <v>44556</v>
      </c>
      <c r="C9" s="30">
        <f t="shared" ca="1" si="1"/>
        <v>22200224852</v>
      </c>
      <c r="D9" s="30"/>
      <c r="E9" s="29">
        <f t="shared" ca="1" si="2"/>
        <v>44538</v>
      </c>
      <c r="F9" s="31">
        <f t="shared" ca="1" si="3"/>
        <v>39716.44</v>
      </c>
      <c r="G9" s="32">
        <v>20</v>
      </c>
      <c r="H9" s="33">
        <f t="shared" ca="1" si="7"/>
        <v>6619.41</v>
      </c>
      <c r="I9" s="34">
        <f t="shared" ca="1" si="4"/>
        <v>66</v>
      </c>
      <c r="J9" s="34"/>
      <c r="K9" s="34">
        <f t="shared" ca="1" si="5"/>
        <v>69.3</v>
      </c>
      <c r="L9" s="35" t="s">
        <v>51</v>
      </c>
      <c r="M9" s="29">
        <f t="shared" ca="1" si="6"/>
        <v>44570</v>
      </c>
      <c r="N9" s="14" t="s">
        <v>68</v>
      </c>
      <c r="O9" s="36" t="s">
        <v>82</v>
      </c>
      <c r="P9" s="28" t="s">
        <v>128</v>
      </c>
    </row>
    <row r="10" spans="1:20" ht="15" customHeight="1">
      <c r="A10" s="28">
        <v>8</v>
      </c>
      <c r="B10" s="29">
        <f t="shared" ca="1" si="0"/>
        <v>44558</v>
      </c>
      <c r="C10" s="30">
        <f t="shared" ca="1" si="1"/>
        <v>15741869581</v>
      </c>
      <c r="D10" s="30"/>
      <c r="E10" s="29">
        <f t="shared" ca="1" si="2"/>
        <v>44534</v>
      </c>
      <c r="F10" s="31">
        <f t="shared" ca="1" si="3"/>
        <v>50631.63</v>
      </c>
      <c r="G10" s="32">
        <v>20</v>
      </c>
      <c r="H10" s="33">
        <v>10139.530000000001</v>
      </c>
      <c r="I10" s="34">
        <f t="shared" ca="1" si="4"/>
        <v>66</v>
      </c>
      <c r="J10" s="34"/>
      <c r="K10" s="34">
        <f t="shared" ca="1" si="5"/>
        <v>69.3</v>
      </c>
      <c r="L10" s="35" t="s">
        <v>55</v>
      </c>
      <c r="M10" s="29">
        <f t="shared" ca="1" si="6"/>
        <v>44572</v>
      </c>
      <c r="N10" s="14" t="s">
        <v>69</v>
      </c>
      <c r="O10" s="37" t="s">
        <v>83</v>
      </c>
      <c r="P10" s="28" t="s">
        <v>129</v>
      </c>
    </row>
    <row r="11" spans="1:20">
      <c r="A11" s="28">
        <v>9</v>
      </c>
      <c r="B11" s="29">
        <f t="shared" ca="1" si="0"/>
        <v>44558</v>
      </c>
      <c r="C11" s="30">
        <f t="shared" ca="1" si="1"/>
        <v>7536774797</v>
      </c>
      <c r="D11" s="30"/>
      <c r="E11" s="29">
        <f t="shared" ca="1" si="2"/>
        <v>44544</v>
      </c>
      <c r="F11" s="31">
        <f t="shared" ca="1" si="3"/>
        <v>23465.81</v>
      </c>
      <c r="G11" s="32">
        <v>20</v>
      </c>
      <c r="H11" s="33">
        <f t="shared" ca="1" si="7"/>
        <v>3910.97</v>
      </c>
      <c r="I11" s="34">
        <f t="shared" ca="1" si="4"/>
        <v>67</v>
      </c>
      <c r="J11" s="34"/>
      <c r="K11" s="34">
        <f t="shared" ca="1" si="5"/>
        <v>70.350000000000009</v>
      </c>
      <c r="L11" s="35" t="s">
        <v>55</v>
      </c>
      <c r="M11" s="29">
        <f t="shared" ca="1" si="6"/>
        <v>44572</v>
      </c>
      <c r="N11" s="14" t="s">
        <v>64</v>
      </c>
      <c r="O11" s="36" t="s">
        <v>84</v>
      </c>
      <c r="P11" s="28" t="s">
        <v>130</v>
      </c>
    </row>
    <row r="12" spans="1:20">
      <c r="A12" s="28">
        <v>10</v>
      </c>
      <c r="B12" s="29">
        <f t="shared" ca="1" si="0"/>
        <v>44549</v>
      </c>
      <c r="C12" s="42"/>
      <c r="D12" s="30">
        <f t="shared" ref="D12:D17" ca="1" si="8">RANDBETWEEN(5745454,24054584054)</f>
        <v>12546500743</v>
      </c>
      <c r="E12" s="29">
        <f t="shared" ca="1" si="2"/>
        <v>44532</v>
      </c>
      <c r="F12" s="31">
        <f t="shared" ca="1" si="3"/>
        <v>40558.379999999997</v>
      </c>
      <c r="G12" s="32">
        <v>20</v>
      </c>
      <c r="H12" s="33">
        <f t="shared" ca="1" si="7"/>
        <v>6759.73</v>
      </c>
      <c r="I12" s="44"/>
      <c r="J12" s="34">
        <f t="shared" ca="1" si="4"/>
        <v>46</v>
      </c>
      <c r="K12" s="34">
        <f ca="1">J12*1.05</f>
        <v>48.300000000000004</v>
      </c>
      <c r="L12" s="35" t="s">
        <v>47</v>
      </c>
      <c r="M12" s="29">
        <f t="shared" ca="1" si="6"/>
        <v>44563</v>
      </c>
      <c r="N12" s="24" t="s">
        <v>66</v>
      </c>
      <c r="O12" s="37" t="s">
        <v>85</v>
      </c>
      <c r="P12" s="28" t="s">
        <v>131</v>
      </c>
    </row>
    <row r="13" spans="1:20" ht="15" customHeight="1">
      <c r="A13" s="28">
        <v>11</v>
      </c>
      <c r="B13" s="29">
        <f t="shared" ca="1" si="0"/>
        <v>44560</v>
      </c>
      <c r="C13" s="42"/>
      <c r="D13" s="30">
        <f t="shared" ca="1" si="8"/>
        <v>5711609757</v>
      </c>
      <c r="E13" s="29">
        <f t="shared" ca="1" si="2"/>
        <v>44545</v>
      </c>
      <c r="F13" s="31">
        <f t="shared" ca="1" si="3"/>
        <v>79477.600000000006</v>
      </c>
      <c r="G13" s="32">
        <v>20</v>
      </c>
      <c r="H13" s="33">
        <f t="shared" ca="1" si="7"/>
        <v>13246.27</v>
      </c>
      <c r="I13" s="34"/>
      <c r="J13" s="34">
        <f t="shared" ca="1" si="4"/>
        <v>82</v>
      </c>
      <c r="K13" s="34">
        <f t="shared" ref="K13:K17" ca="1" si="9">J13*1.05</f>
        <v>86.100000000000009</v>
      </c>
      <c r="L13" s="35" t="s">
        <v>47</v>
      </c>
      <c r="M13" s="29">
        <f t="shared" ca="1" si="6"/>
        <v>44574</v>
      </c>
      <c r="N13" s="14" t="s">
        <v>67</v>
      </c>
      <c r="O13" s="37" t="s">
        <v>86</v>
      </c>
      <c r="P13" s="28" t="s">
        <v>132</v>
      </c>
    </row>
    <row r="14" spans="1:20">
      <c r="A14" s="28">
        <v>12</v>
      </c>
      <c r="B14" s="29">
        <f t="shared" ca="1" si="0"/>
        <v>44550</v>
      </c>
      <c r="C14" s="42"/>
      <c r="D14" s="30">
        <f t="shared" ca="1" si="8"/>
        <v>8043875156</v>
      </c>
      <c r="E14" s="29">
        <f t="shared" ca="1" si="2"/>
        <v>44524</v>
      </c>
      <c r="F14" s="31">
        <f t="shared" ca="1" si="3"/>
        <v>80193.64</v>
      </c>
      <c r="G14" s="32">
        <v>20</v>
      </c>
      <c r="H14" s="33">
        <f t="shared" ca="1" si="7"/>
        <v>13365.61</v>
      </c>
      <c r="I14" s="44"/>
      <c r="J14" s="34">
        <f t="shared" ca="1" si="4"/>
        <v>88</v>
      </c>
      <c r="K14" s="34">
        <f t="shared" ca="1" si="9"/>
        <v>92.4</v>
      </c>
      <c r="L14" s="35" t="s">
        <v>47</v>
      </c>
      <c r="M14" s="29">
        <f t="shared" ca="1" si="6"/>
        <v>44564</v>
      </c>
      <c r="N14" s="14" t="s">
        <v>68</v>
      </c>
      <c r="O14" s="36" t="s">
        <v>87</v>
      </c>
      <c r="P14" s="28" t="s">
        <v>133</v>
      </c>
    </row>
    <row r="15" spans="1:20">
      <c r="A15" s="28">
        <v>13</v>
      </c>
      <c r="B15" s="29">
        <f t="shared" ca="1" si="0"/>
        <v>44557</v>
      </c>
      <c r="C15" s="42"/>
      <c r="D15" s="30">
        <f t="shared" ca="1" si="8"/>
        <v>5781333296</v>
      </c>
      <c r="E15" s="29">
        <f t="shared" ca="1" si="2"/>
        <v>44533</v>
      </c>
      <c r="F15" s="31">
        <f t="shared" ca="1" si="3"/>
        <v>23131.16</v>
      </c>
      <c r="G15" s="32">
        <v>20</v>
      </c>
      <c r="H15" s="33">
        <f t="shared" ca="1" si="7"/>
        <v>3855.19</v>
      </c>
      <c r="I15" s="34"/>
      <c r="J15" s="34">
        <f t="shared" ca="1" si="4"/>
        <v>27</v>
      </c>
      <c r="K15" s="34">
        <f t="shared" ca="1" si="9"/>
        <v>28.35</v>
      </c>
      <c r="L15" s="35" t="s">
        <v>47</v>
      </c>
      <c r="M15" s="29">
        <f t="shared" ca="1" si="6"/>
        <v>44571</v>
      </c>
      <c r="N15" s="14" t="s">
        <v>69</v>
      </c>
      <c r="O15" s="36" t="s">
        <v>88</v>
      </c>
      <c r="P15" s="28" t="s">
        <v>134</v>
      </c>
    </row>
    <row r="16" spans="1:20">
      <c r="A16" s="28">
        <v>14</v>
      </c>
      <c r="B16" s="29">
        <f t="shared" ca="1" si="0"/>
        <v>44561</v>
      </c>
      <c r="C16" s="42"/>
      <c r="D16" s="30">
        <f t="shared" ca="1" si="8"/>
        <v>253002112</v>
      </c>
      <c r="E16" s="29">
        <f t="shared" ca="1" si="2"/>
        <v>44538</v>
      </c>
      <c r="F16" s="31">
        <f t="shared" ca="1" si="3"/>
        <v>90467.27</v>
      </c>
      <c r="G16" s="32">
        <v>0</v>
      </c>
      <c r="H16" s="33">
        <f t="shared" ca="1" si="7"/>
        <v>0</v>
      </c>
      <c r="I16" s="31"/>
      <c r="J16" s="34">
        <f t="shared" ca="1" si="4"/>
        <v>65</v>
      </c>
      <c r="K16" s="34">
        <f t="shared" ca="1" si="9"/>
        <v>68.25</v>
      </c>
      <c r="L16" s="35" t="s">
        <v>47</v>
      </c>
      <c r="M16" s="29">
        <f t="shared" ca="1" si="6"/>
        <v>44575</v>
      </c>
      <c r="N16" s="14" t="s">
        <v>64</v>
      </c>
      <c r="O16" s="36" t="s">
        <v>89</v>
      </c>
      <c r="P16" s="28" t="s">
        <v>135</v>
      </c>
    </row>
    <row r="17" spans="1:16">
      <c r="A17" s="28">
        <v>15</v>
      </c>
      <c r="B17" s="29">
        <f t="shared" ca="1" si="0"/>
        <v>44560</v>
      </c>
      <c r="C17" s="42"/>
      <c r="D17" s="30">
        <f t="shared" ca="1" si="8"/>
        <v>642472169</v>
      </c>
      <c r="E17" s="29">
        <f t="shared" ca="1" si="2"/>
        <v>44536</v>
      </c>
      <c r="F17" s="31">
        <f t="shared" ca="1" si="3"/>
        <v>56695.89</v>
      </c>
      <c r="G17" s="32">
        <v>0</v>
      </c>
      <c r="H17" s="33">
        <f t="shared" ca="1" si="7"/>
        <v>0</v>
      </c>
      <c r="I17" s="31"/>
      <c r="J17" s="34">
        <f t="shared" ca="1" si="4"/>
        <v>79</v>
      </c>
      <c r="K17" s="34">
        <f t="shared" ca="1" si="9"/>
        <v>82.95</v>
      </c>
      <c r="L17" s="35" t="s">
        <v>47</v>
      </c>
      <c r="M17" s="29">
        <f t="shared" ca="1" si="6"/>
        <v>44574</v>
      </c>
      <c r="N17" s="14" t="s">
        <v>69</v>
      </c>
      <c r="O17" s="36" t="s">
        <v>90</v>
      </c>
      <c r="P17" s="28" t="s">
        <v>136</v>
      </c>
    </row>
    <row r="18" spans="1:16">
      <c r="A18" s="28">
        <v>16</v>
      </c>
      <c r="B18" s="29">
        <f t="shared" ca="1" si="0"/>
        <v>44555</v>
      </c>
      <c r="C18" s="30">
        <f ca="1">RANDBETWEEN(5745454,24054584054)</f>
        <v>13450102020</v>
      </c>
      <c r="D18" s="42"/>
      <c r="E18" s="29">
        <f t="shared" ca="1" si="2"/>
        <v>44531</v>
      </c>
      <c r="F18" s="31">
        <f t="shared" ca="1" si="3"/>
        <v>51492.46</v>
      </c>
      <c r="G18" s="32">
        <v>20</v>
      </c>
      <c r="H18" s="33">
        <f t="shared" ca="1" si="7"/>
        <v>8582.08</v>
      </c>
      <c r="I18" s="34">
        <f t="shared" ref="I18:I20" ca="1" si="10">RANDBETWEEN(25,100)</f>
        <v>80</v>
      </c>
      <c r="J18" s="34"/>
      <c r="K18" s="34">
        <f t="shared" ref="K18:K20" ca="1" si="11">I18*1.05</f>
        <v>84</v>
      </c>
      <c r="L18" s="35" t="s">
        <v>47</v>
      </c>
      <c r="M18" s="29">
        <f t="shared" ca="1" si="6"/>
        <v>44569</v>
      </c>
      <c r="N18" s="14" t="s">
        <v>64</v>
      </c>
      <c r="O18" s="36" t="s">
        <v>91</v>
      </c>
      <c r="P18" s="28" t="s">
        <v>137</v>
      </c>
    </row>
    <row r="19" spans="1:16">
      <c r="A19" s="28">
        <v>17</v>
      </c>
      <c r="B19" s="29">
        <f t="shared" ca="1" si="0"/>
        <v>44552</v>
      </c>
      <c r="C19" s="30">
        <f ca="1">RANDBETWEEN(5745454,24054584054)</f>
        <v>11600506325</v>
      </c>
      <c r="D19" s="42"/>
      <c r="E19" s="29">
        <f t="shared" ca="1" si="2"/>
        <v>44529</v>
      </c>
      <c r="F19" s="31">
        <f t="shared" ca="1" si="3"/>
        <v>82680.95</v>
      </c>
      <c r="G19" s="32">
        <v>20</v>
      </c>
      <c r="H19" s="33">
        <f t="shared" ca="1" si="7"/>
        <v>13780.16</v>
      </c>
      <c r="I19" s="34">
        <f t="shared" ca="1" si="10"/>
        <v>85</v>
      </c>
      <c r="J19" s="34"/>
      <c r="K19" s="34">
        <f t="shared" ca="1" si="11"/>
        <v>89.25</v>
      </c>
      <c r="L19" s="35" t="s">
        <v>47</v>
      </c>
      <c r="M19" s="29">
        <f t="shared" ca="1" si="6"/>
        <v>44566</v>
      </c>
      <c r="N19" s="24" t="s">
        <v>66</v>
      </c>
      <c r="O19" s="36" t="s">
        <v>92</v>
      </c>
      <c r="P19" s="28" t="s">
        <v>138</v>
      </c>
    </row>
    <row r="20" spans="1:16" ht="15" customHeight="1">
      <c r="A20" s="28">
        <v>18</v>
      </c>
      <c r="B20" s="29">
        <f t="shared" ca="1" si="0"/>
        <v>44553</v>
      </c>
      <c r="C20" s="30">
        <f ca="1">RANDBETWEEN(5745454,24054584054)</f>
        <v>12672781539</v>
      </c>
      <c r="D20" s="42"/>
      <c r="E20" s="29">
        <f t="shared" ca="1" si="2"/>
        <v>44525</v>
      </c>
      <c r="F20" s="31">
        <f t="shared" ca="1" si="3"/>
        <v>41183.949999999997</v>
      </c>
      <c r="G20" s="32">
        <v>20</v>
      </c>
      <c r="H20" s="33">
        <v>9592.0499999999993</v>
      </c>
      <c r="I20" s="34">
        <f t="shared" ca="1" si="10"/>
        <v>50</v>
      </c>
      <c r="J20" s="34"/>
      <c r="K20" s="34">
        <f t="shared" ca="1" si="11"/>
        <v>52.5</v>
      </c>
      <c r="L20" s="35" t="s">
        <v>47</v>
      </c>
      <c r="M20" s="29">
        <f t="shared" ca="1" si="6"/>
        <v>44567</v>
      </c>
      <c r="N20" s="14" t="s">
        <v>67</v>
      </c>
      <c r="O20" s="37" t="s">
        <v>93</v>
      </c>
      <c r="P20" s="28" t="s">
        <v>139</v>
      </c>
    </row>
    <row r="21" spans="1:16" ht="15" customHeight="1">
      <c r="A21" s="28">
        <v>19</v>
      </c>
      <c r="B21" s="29">
        <f t="shared" ca="1" si="0"/>
        <v>44564</v>
      </c>
      <c r="C21" s="42"/>
      <c r="D21" s="30">
        <f t="shared" ref="D21:D25" ca="1" si="12">RANDBETWEEN(5745454,24054584054)</f>
        <v>2769393012</v>
      </c>
      <c r="E21" s="29">
        <f t="shared" ca="1" si="2"/>
        <v>44537</v>
      </c>
      <c r="F21" s="31">
        <f t="shared" ca="1" si="3"/>
        <v>31537.34</v>
      </c>
      <c r="G21" s="32">
        <v>20</v>
      </c>
      <c r="H21" s="33">
        <f t="shared" ca="1" si="7"/>
        <v>5256.22</v>
      </c>
      <c r="I21" s="31"/>
      <c r="J21" s="34">
        <f t="shared" ref="J21:J25" ca="1" si="13">RANDBETWEEN(25,100)</f>
        <v>49</v>
      </c>
      <c r="K21" s="34">
        <f t="shared" ref="K21:K25" ca="1" si="14">J21*1.05</f>
        <v>51.45</v>
      </c>
      <c r="L21" s="35" t="s">
        <v>47</v>
      </c>
      <c r="M21" s="29">
        <f t="shared" ca="1" si="6"/>
        <v>44578</v>
      </c>
      <c r="N21" s="14" t="s">
        <v>68</v>
      </c>
      <c r="O21" s="37" t="s">
        <v>94</v>
      </c>
      <c r="P21" s="28" t="s">
        <v>140</v>
      </c>
    </row>
    <row r="22" spans="1:16" ht="15" customHeight="1">
      <c r="A22" s="28">
        <v>20</v>
      </c>
      <c r="B22" s="29">
        <f t="shared" ca="1" si="0"/>
        <v>44559</v>
      </c>
      <c r="C22" s="42"/>
      <c r="D22" s="30">
        <f t="shared" ca="1" si="12"/>
        <v>8960225766</v>
      </c>
      <c r="E22" s="29">
        <f t="shared" ca="1" si="2"/>
        <v>44538</v>
      </c>
      <c r="F22" s="31">
        <f t="shared" ca="1" si="3"/>
        <v>6347.86</v>
      </c>
      <c r="G22" s="32">
        <v>20</v>
      </c>
      <c r="H22" s="33">
        <f t="shared" ca="1" si="7"/>
        <v>1057.98</v>
      </c>
      <c r="I22" s="31"/>
      <c r="J22" s="34">
        <f t="shared" ca="1" si="13"/>
        <v>28</v>
      </c>
      <c r="K22" s="34">
        <f t="shared" ca="1" si="14"/>
        <v>29.400000000000002</v>
      </c>
      <c r="L22" s="35" t="s">
        <v>47</v>
      </c>
      <c r="M22" s="29">
        <f t="shared" ca="1" si="6"/>
        <v>44573</v>
      </c>
      <c r="N22" s="14" t="s">
        <v>69</v>
      </c>
      <c r="O22" s="37" t="s">
        <v>95</v>
      </c>
      <c r="P22" s="28" t="s">
        <v>141</v>
      </c>
    </row>
    <row r="23" spans="1:16">
      <c r="A23" s="28">
        <v>21</v>
      </c>
      <c r="B23" s="29">
        <f t="shared" ca="1" si="0"/>
        <v>44549</v>
      </c>
      <c r="C23" s="42"/>
      <c r="D23" s="30">
        <f t="shared" ca="1" si="12"/>
        <v>17857031760</v>
      </c>
      <c r="E23" s="29">
        <f t="shared" ca="1" si="2"/>
        <v>44534</v>
      </c>
      <c r="F23" s="31">
        <f t="shared" ca="1" si="3"/>
        <v>62098.96</v>
      </c>
      <c r="G23" s="32">
        <v>20</v>
      </c>
      <c r="H23" s="33">
        <f t="shared" ca="1" si="7"/>
        <v>10349.83</v>
      </c>
      <c r="I23" s="31"/>
      <c r="J23" s="34">
        <f t="shared" ca="1" si="13"/>
        <v>34</v>
      </c>
      <c r="K23" s="34">
        <f t="shared" ca="1" si="14"/>
        <v>35.700000000000003</v>
      </c>
      <c r="L23" s="35" t="s">
        <v>47</v>
      </c>
      <c r="M23" s="29">
        <f t="shared" ca="1" si="6"/>
        <v>44563</v>
      </c>
      <c r="N23" s="14" t="s">
        <v>64</v>
      </c>
      <c r="O23" s="36" t="s">
        <v>96</v>
      </c>
      <c r="P23" s="28" t="s">
        <v>142</v>
      </c>
    </row>
    <row r="24" spans="1:16">
      <c r="A24" s="28">
        <v>22</v>
      </c>
      <c r="B24" s="29">
        <f t="shared" ca="1" si="0"/>
        <v>44562</v>
      </c>
      <c r="C24" s="42"/>
      <c r="D24" s="30">
        <f t="shared" ca="1" si="12"/>
        <v>8100594789</v>
      </c>
      <c r="E24" s="29">
        <f t="shared" ca="1" si="2"/>
        <v>44543</v>
      </c>
      <c r="F24" s="31">
        <f t="shared" ca="1" si="3"/>
        <v>60302.19</v>
      </c>
      <c r="G24" s="32">
        <v>0</v>
      </c>
      <c r="H24" s="33">
        <f t="shared" ca="1" si="7"/>
        <v>0</v>
      </c>
      <c r="I24" s="31"/>
      <c r="J24" s="34">
        <f t="shared" ca="1" si="13"/>
        <v>68</v>
      </c>
      <c r="K24" s="34">
        <f t="shared" ca="1" si="14"/>
        <v>71.400000000000006</v>
      </c>
      <c r="L24" s="35" t="s">
        <v>55</v>
      </c>
      <c r="M24" s="29">
        <f t="shared" ca="1" si="6"/>
        <v>44576</v>
      </c>
      <c r="N24" s="24" t="s">
        <v>66</v>
      </c>
      <c r="O24" s="36" t="s">
        <v>97</v>
      </c>
      <c r="P24" s="28" t="s">
        <v>143</v>
      </c>
    </row>
    <row r="25" spans="1:16">
      <c r="A25" s="28">
        <v>23</v>
      </c>
      <c r="B25" s="29">
        <f t="shared" ca="1" si="0"/>
        <v>44561</v>
      </c>
      <c r="C25" s="42"/>
      <c r="D25" s="30">
        <f t="shared" ca="1" si="12"/>
        <v>21252652378</v>
      </c>
      <c r="E25" s="29">
        <f t="shared" ca="1" si="2"/>
        <v>44538</v>
      </c>
      <c r="F25" s="31">
        <f t="shared" ca="1" si="3"/>
        <v>95728.99</v>
      </c>
      <c r="G25" s="32">
        <v>20</v>
      </c>
      <c r="H25" s="33">
        <f t="shared" ca="1" si="7"/>
        <v>15954.83</v>
      </c>
      <c r="I25" s="31"/>
      <c r="J25" s="34">
        <f t="shared" ca="1" si="13"/>
        <v>80</v>
      </c>
      <c r="K25" s="34">
        <f t="shared" ca="1" si="14"/>
        <v>84</v>
      </c>
      <c r="L25" s="35" t="s">
        <v>55</v>
      </c>
      <c r="M25" s="29">
        <f t="shared" ca="1" si="6"/>
        <v>44575</v>
      </c>
      <c r="N25" s="14" t="s">
        <v>67</v>
      </c>
      <c r="O25" s="36" t="s">
        <v>98</v>
      </c>
      <c r="P25" s="28" t="s">
        <v>144</v>
      </c>
    </row>
    <row r="26" spans="1:16">
      <c r="A26" s="28">
        <v>24</v>
      </c>
      <c r="B26" s="29">
        <f t="shared" ca="1" si="0"/>
        <v>44550</v>
      </c>
      <c r="C26" s="30">
        <f t="shared" ref="C26:C33" ca="1" si="15">RANDBETWEEN(5745454,24054584054)</f>
        <v>24003961029</v>
      </c>
      <c r="D26" s="42"/>
      <c r="E26" s="29">
        <f t="shared" ca="1" si="2"/>
        <v>44522</v>
      </c>
      <c r="F26" s="31">
        <f t="shared" ca="1" si="3"/>
        <v>80767.41</v>
      </c>
      <c r="G26" s="32">
        <v>20</v>
      </c>
      <c r="H26" s="33">
        <f t="shared" ca="1" si="7"/>
        <v>13461.24</v>
      </c>
      <c r="I26" s="34">
        <f t="shared" ref="I26:I33" ca="1" si="16">RANDBETWEEN(25,100)</f>
        <v>32</v>
      </c>
      <c r="J26" s="34"/>
      <c r="K26" s="34">
        <f t="shared" ref="K26:K33" ca="1" si="17">I26*1.05</f>
        <v>33.6</v>
      </c>
      <c r="L26" s="35" t="s">
        <v>51</v>
      </c>
      <c r="M26" s="29">
        <f t="shared" ca="1" si="6"/>
        <v>44564</v>
      </c>
      <c r="N26" s="14" t="s">
        <v>64</v>
      </c>
      <c r="O26" s="36" t="s">
        <v>99</v>
      </c>
      <c r="P26" s="28" t="s">
        <v>145</v>
      </c>
    </row>
    <row r="27" spans="1:16">
      <c r="A27" s="28">
        <v>25</v>
      </c>
      <c r="B27" s="29">
        <f t="shared" ca="1" si="0"/>
        <v>44556</v>
      </c>
      <c r="C27" s="30">
        <f t="shared" ca="1" si="15"/>
        <v>4698082984</v>
      </c>
      <c r="D27" s="42"/>
      <c r="E27" s="29">
        <f t="shared" ca="1" si="2"/>
        <v>44542</v>
      </c>
      <c r="F27" s="31">
        <f t="shared" ca="1" si="3"/>
        <v>86890.87</v>
      </c>
      <c r="G27" s="32">
        <v>20</v>
      </c>
      <c r="H27" s="33">
        <f t="shared" ca="1" si="7"/>
        <v>14481.81</v>
      </c>
      <c r="I27" s="34">
        <f t="shared" ca="1" si="16"/>
        <v>63</v>
      </c>
      <c r="J27" s="34"/>
      <c r="K27" s="34">
        <f t="shared" ca="1" si="17"/>
        <v>66.150000000000006</v>
      </c>
      <c r="L27" s="35" t="s">
        <v>51</v>
      </c>
      <c r="M27" s="29">
        <f t="shared" ca="1" si="6"/>
        <v>44570</v>
      </c>
      <c r="N27" s="24" t="s">
        <v>66</v>
      </c>
      <c r="O27" s="36" t="s">
        <v>100</v>
      </c>
      <c r="P27" s="28" t="s">
        <v>146</v>
      </c>
    </row>
    <row r="28" spans="1:16">
      <c r="A28" s="28">
        <v>26</v>
      </c>
      <c r="B28" s="29">
        <f t="shared" ca="1" si="0"/>
        <v>44561</v>
      </c>
      <c r="C28" s="30">
        <f t="shared" ca="1" si="15"/>
        <v>15458770945</v>
      </c>
      <c r="D28" s="42"/>
      <c r="E28" s="29">
        <f t="shared" ca="1" si="2"/>
        <v>44547</v>
      </c>
      <c r="F28" s="31">
        <f t="shared" ca="1" si="3"/>
        <v>54869.85</v>
      </c>
      <c r="G28" s="32">
        <v>20</v>
      </c>
      <c r="H28" s="33">
        <f t="shared" ca="1" si="7"/>
        <v>9144.98</v>
      </c>
      <c r="I28" s="34">
        <f t="shared" ca="1" si="16"/>
        <v>89</v>
      </c>
      <c r="J28" s="34"/>
      <c r="K28" s="34">
        <f t="shared" ca="1" si="17"/>
        <v>93.45</v>
      </c>
      <c r="L28" s="35" t="s">
        <v>51</v>
      </c>
      <c r="M28" s="29">
        <f t="shared" ca="1" si="6"/>
        <v>44575</v>
      </c>
      <c r="N28" s="14" t="s">
        <v>64</v>
      </c>
      <c r="O28" s="36" t="s">
        <v>101</v>
      </c>
      <c r="P28" s="28" t="s">
        <v>147</v>
      </c>
    </row>
    <row r="29" spans="1:16">
      <c r="A29" s="28">
        <v>27</v>
      </c>
      <c r="B29" s="29">
        <f t="shared" ca="1" si="0"/>
        <v>44559</v>
      </c>
      <c r="C29" s="30">
        <f t="shared" ca="1" si="15"/>
        <v>18648023161</v>
      </c>
      <c r="D29" s="42"/>
      <c r="E29" s="29">
        <f t="shared" ca="1" si="2"/>
        <v>44540</v>
      </c>
      <c r="F29" s="31">
        <f t="shared" ca="1" si="3"/>
        <v>3711.8</v>
      </c>
      <c r="G29" s="32">
        <v>20</v>
      </c>
      <c r="H29" s="33">
        <f t="shared" ca="1" si="7"/>
        <v>618.63</v>
      </c>
      <c r="I29" s="34">
        <f t="shared" ca="1" si="16"/>
        <v>69</v>
      </c>
      <c r="J29" s="34"/>
      <c r="K29" s="34">
        <f t="shared" ca="1" si="17"/>
        <v>72.45</v>
      </c>
      <c r="L29" s="35" t="s">
        <v>51</v>
      </c>
      <c r="M29" s="29">
        <f t="shared" ca="1" si="6"/>
        <v>44573</v>
      </c>
      <c r="N29" s="24" t="s">
        <v>66</v>
      </c>
      <c r="O29" s="36" t="s">
        <v>102</v>
      </c>
      <c r="P29" s="28" t="s">
        <v>148</v>
      </c>
    </row>
    <row r="30" spans="1:16">
      <c r="A30" s="28">
        <v>28</v>
      </c>
      <c r="B30" s="29">
        <f t="shared" ca="1" si="0"/>
        <v>44556</v>
      </c>
      <c r="C30" s="30">
        <f t="shared" ca="1" si="15"/>
        <v>17673320194</v>
      </c>
      <c r="D30" s="42"/>
      <c r="E30" s="29">
        <f t="shared" ca="1" si="2"/>
        <v>44539</v>
      </c>
      <c r="F30" s="31">
        <f t="shared" ca="1" si="3"/>
        <v>33652.68</v>
      </c>
      <c r="G30" s="32">
        <v>0</v>
      </c>
      <c r="H30" s="33">
        <f t="shared" ca="1" si="7"/>
        <v>0</v>
      </c>
      <c r="I30" s="34">
        <f t="shared" ca="1" si="16"/>
        <v>38</v>
      </c>
      <c r="J30" s="34"/>
      <c r="K30" s="34">
        <f t="shared" ca="1" si="17"/>
        <v>39.9</v>
      </c>
      <c r="L30" s="35" t="s">
        <v>47</v>
      </c>
      <c r="M30" s="29">
        <f t="shared" ca="1" si="6"/>
        <v>44570</v>
      </c>
      <c r="N30" s="14" t="s">
        <v>67</v>
      </c>
      <c r="O30" s="36" t="s">
        <v>103</v>
      </c>
      <c r="P30" s="28" t="s">
        <v>149</v>
      </c>
    </row>
    <row r="31" spans="1:16">
      <c r="A31" s="28">
        <v>29</v>
      </c>
      <c r="B31" s="29">
        <f t="shared" ca="1" si="0"/>
        <v>44555</v>
      </c>
      <c r="C31" s="30">
        <f t="shared" ca="1" si="15"/>
        <v>16906065175</v>
      </c>
      <c r="D31" s="42"/>
      <c r="E31" s="29">
        <f t="shared" ca="1" si="2"/>
        <v>44528</v>
      </c>
      <c r="F31" s="31">
        <f t="shared" ca="1" si="3"/>
        <v>78174.27</v>
      </c>
      <c r="G31" s="32">
        <v>20</v>
      </c>
      <c r="H31" s="33">
        <v>21.96</v>
      </c>
      <c r="I31" s="34">
        <f t="shared" ca="1" si="16"/>
        <v>67</v>
      </c>
      <c r="J31" s="34"/>
      <c r="K31" s="34">
        <f t="shared" ca="1" si="17"/>
        <v>70.350000000000009</v>
      </c>
      <c r="L31" s="35" t="s">
        <v>47</v>
      </c>
      <c r="M31" s="29">
        <f t="shared" ca="1" si="6"/>
        <v>44569</v>
      </c>
      <c r="N31" s="14" t="s">
        <v>64</v>
      </c>
      <c r="O31" s="36" t="s">
        <v>104</v>
      </c>
      <c r="P31" s="28" t="s">
        <v>150</v>
      </c>
    </row>
    <row r="32" spans="1:16">
      <c r="A32" s="28">
        <v>30</v>
      </c>
      <c r="B32" s="29">
        <f t="shared" ca="1" si="0"/>
        <v>44563</v>
      </c>
      <c r="C32" s="30">
        <f t="shared" ca="1" si="15"/>
        <v>16728308884</v>
      </c>
      <c r="D32" s="42"/>
      <c r="E32" s="29">
        <f t="shared" ca="1" si="2"/>
        <v>44548</v>
      </c>
      <c r="F32" s="31">
        <f t="shared" ca="1" si="3"/>
        <v>22665.84</v>
      </c>
      <c r="G32" s="32">
        <v>0</v>
      </c>
      <c r="H32" s="33">
        <f t="shared" ca="1" si="7"/>
        <v>0</v>
      </c>
      <c r="I32" s="34">
        <f t="shared" ca="1" si="16"/>
        <v>44</v>
      </c>
      <c r="J32" s="34"/>
      <c r="K32" s="34">
        <f t="shared" ca="1" si="17"/>
        <v>46.2</v>
      </c>
      <c r="L32" s="35" t="s">
        <v>47</v>
      </c>
      <c r="M32" s="29">
        <f t="shared" ca="1" si="6"/>
        <v>44577</v>
      </c>
      <c r="N32" s="24" t="s">
        <v>66</v>
      </c>
      <c r="O32" s="37" t="s">
        <v>105</v>
      </c>
      <c r="P32" s="28" t="s">
        <v>151</v>
      </c>
    </row>
    <row r="33" spans="1:16" ht="15" customHeight="1">
      <c r="A33" s="28">
        <v>31</v>
      </c>
      <c r="B33" s="29">
        <f t="shared" ca="1" si="0"/>
        <v>44557</v>
      </c>
      <c r="C33" s="30">
        <f t="shared" ca="1" si="15"/>
        <v>12490655487</v>
      </c>
      <c r="D33" s="35"/>
      <c r="E33" s="29">
        <f t="shared" ca="1" si="2"/>
        <v>44538</v>
      </c>
      <c r="F33" s="31">
        <f t="shared" ca="1" si="3"/>
        <v>64187.88</v>
      </c>
      <c r="G33" s="32">
        <v>0</v>
      </c>
      <c r="H33" s="33">
        <f t="shared" ca="1" si="7"/>
        <v>0</v>
      </c>
      <c r="I33" s="34">
        <f t="shared" ca="1" si="16"/>
        <v>48</v>
      </c>
      <c r="J33" s="34"/>
      <c r="K33" s="34">
        <f t="shared" ca="1" si="17"/>
        <v>50.400000000000006</v>
      </c>
      <c r="L33" s="35" t="s">
        <v>47</v>
      </c>
      <c r="M33" s="29">
        <f t="shared" ca="1" si="6"/>
        <v>44571</v>
      </c>
      <c r="N33" s="14" t="s">
        <v>64</v>
      </c>
      <c r="O33" s="37" t="s">
        <v>106</v>
      </c>
      <c r="P33" s="28" t="s">
        <v>152</v>
      </c>
    </row>
    <row r="34" spans="1:16">
      <c r="A34" s="28">
        <v>32</v>
      </c>
      <c r="B34" s="29">
        <f t="shared" ca="1" si="0"/>
        <v>44553</v>
      </c>
      <c r="C34" s="35"/>
      <c r="D34" s="30">
        <f t="shared" ref="D34:D38" ca="1" si="18">RANDBETWEEN(5745454,24054584054)</f>
        <v>14566488700</v>
      </c>
      <c r="E34" s="29">
        <f t="shared" ca="1" si="2"/>
        <v>44535</v>
      </c>
      <c r="F34" s="31">
        <f t="shared" ca="1" si="3"/>
        <v>91365.38</v>
      </c>
      <c r="G34" s="32">
        <v>20</v>
      </c>
      <c r="H34" s="33">
        <f t="shared" ca="1" si="7"/>
        <v>15227.56</v>
      </c>
      <c r="I34" s="31"/>
      <c r="J34" s="34">
        <f t="shared" ref="J34:J38" ca="1" si="19">RANDBETWEEN(25,100)</f>
        <v>37</v>
      </c>
      <c r="K34" s="34">
        <f t="shared" ref="K34:K38" ca="1" si="20">J34*1.05</f>
        <v>38.85</v>
      </c>
      <c r="L34" s="35" t="s">
        <v>47</v>
      </c>
      <c r="M34" s="29">
        <f t="shared" ca="1" si="6"/>
        <v>44567</v>
      </c>
      <c r="N34" s="24" t="s">
        <v>66</v>
      </c>
      <c r="O34" s="36" t="s">
        <v>107</v>
      </c>
      <c r="P34" s="28" t="s">
        <v>153</v>
      </c>
    </row>
    <row r="35" spans="1:16">
      <c r="A35" s="28">
        <v>33</v>
      </c>
      <c r="B35" s="29">
        <f t="shared" ca="1" si="0"/>
        <v>44555</v>
      </c>
      <c r="C35" s="35"/>
      <c r="D35" s="30">
        <f t="shared" ca="1" si="18"/>
        <v>10454903486</v>
      </c>
      <c r="E35" s="29">
        <f t="shared" ca="1" si="2"/>
        <v>44530</v>
      </c>
      <c r="F35" s="31">
        <f t="shared" ca="1" si="3"/>
        <v>8134.32</v>
      </c>
      <c r="G35" s="32">
        <v>0</v>
      </c>
      <c r="H35" s="33">
        <f t="shared" ca="1" si="7"/>
        <v>0</v>
      </c>
      <c r="I35" s="46"/>
      <c r="J35" s="34">
        <f t="shared" ca="1" si="19"/>
        <v>54</v>
      </c>
      <c r="K35" s="34">
        <f t="shared" ca="1" si="20"/>
        <v>56.7</v>
      </c>
      <c r="L35" s="35" t="s">
        <v>47</v>
      </c>
      <c r="M35" s="29">
        <f t="shared" ca="1" si="6"/>
        <v>44569</v>
      </c>
      <c r="N35" s="14" t="s">
        <v>67</v>
      </c>
      <c r="O35" s="36" t="s">
        <v>108</v>
      </c>
      <c r="P35" s="28" t="s">
        <v>154</v>
      </c>
    </row>
    <row r="36" spans="1:16">
      <c r="A36" s="28">
        <v>34</v>
      </c>
      <c r="B36" s="29">
        <f t="shared" ca="1" si="0"/>
        <v>44557</v>
      </c>
      <c r="C36" s="35"/>
      <c r="D36" s="30">
        <f t="shared" ca="1" si="18"/>
        <v>14188761448</v>
      </c>
      <c r="E36" s="29">
        <f t="shared" ca="1" si="2"/>
        <v>44534</v>
      </c>
      <c r="F36" s="31">
        <f t="shared" ca="1" si="3"/>
        <v>12654.03</v>
      </c>
      <c r="G36" s="32">
        <v>20</v>
      </c>
      <c r="H36" s="33">
        <f t="shared" ca="1" si="7"/>
        <v>2109.0100000000002</v>
      </c>
      <c r="I36" s="31"/>
      <c r="J36" s="34">
        <f t="shared" ca="1" si="19"/>
        <v>36</v>
      </c>
      <c r="K36" s="34">
        <f t="shared" ca="1" si="20"/>
        <v>37.800000000000004</v>
      </c>
      <c r="L36" s="35" t="s">
        <v>47</v>
      </c>
      <c r="M36" s="29">
        <f t="shared" ca="1" si="6"/>
        <v>44571</v>
      </c>
      <c r="N36" s="14" t="s">
        <v>68</v>
      </c>
      <c r="O36" s="36" t="s">
        <v>109</v>
      </c>
      <c r="P36" s="28" t="s">
        <v>155</v>
      </c>
    </row>
    <row r="37" spans="1:16">
      <c r="A37" s="28">
        <v>35</v>
      </c>
      <c r="B37" s="29">
        <f t="shared" ca="1" si="0"/>
        <v>44549</v>
      </c>
      <c r="C37" s="30"/>
      <c r="D37" s="30">
        <f t="shared" ca="1" si="18"/>
        <v>848844978</v>
      </c>
      <c r="E37" s="29">
        <f t="shared" ca="1" si="2"/>
        <v>44528</v>
      </c>
      <c r="F37" s="31">
        <f t="shared" ca="1" si="3"/>
        <v>32607.37</v>
      </c>
      <c r="G37" s="32">
        <v>0</v>
      </c>
      <c r="H37" s="33">
        <f t="shared" ca="1" si="7"/>
        <v>0</v>
      </c>
      <c r="I37" s="31"/>
      <c r="J37" s="34">
        <f t="shared" ca="1" si="19"/>
        <v>44</v>
      </c>
      <c r="K37" s="34">
        <f t="shared" ca="1" si="20"/>
        <v>46.2</v>
      </c>
      <c r="L37" s="35" t="s">
        <v>47</v>
      </c>
      <c r="M37" s="29">
        <f t="shared" ca="1" si="6"/>
        <v>44563</v>
      </c>
      <c r="N37" s="14" t="s">
        <v>69</v>
      </c>
      <c r="O37" s="36" t="s">
        <v>110</v>
      </c>
      <c r="P37" s="28" t="s">
        <v>156</v>
      </c>
    </row>
    <row r="38" spans="1:16">
      <c r="A38" s="8">
        <v>36</v>
      </c>
      <c r="B38" s="29">
        <f t="shared" ca="1" si="0"/>
        <v>44551</v>
      </c>
      <c r="C38" s="47"/>
      <c r="D38" s="30">
        <f t="shared" ca="1" si="18"/>
        <v>12788483231</v>
      </c>
      <c r="E38" s="29">
        <f t="shared" ca="1" si="2"/>
        <v>44531</v>
      </c>
      <c r="F38" s="31">
        <f t="shared" ca="1" si="3"/>
        <v>13905.2</v>
      </c>
      <c r="G38" s="26">
        <v>0</v>
      </c>
      <c r="H38" s="33">
        <f t="shared" ca="1" si="7"/>
        <v>0</v>
      </c>
      <c r="I38" s="9"/>
      <c r="J38" s="34">
        <f t="shared" ca="1" si="19"/>
        <v>96</v>
      </c>
      <c r="K38" s="34">
        <f t="shared" ca="1" si="20"/>
        <v>100.80000000000001</v>
      </c>
      <c r="L38" s="35" t="s">
        <v>47</v>
      </c>
      <c r="M38" s="29">
        <f t="shared" ca="1" si="6"/>
        <v>44565</v>
      </c>
      <c r="N38" s="14" t="s">
        <v>67</v>
      </c>
      <c r="O38" s="27" t="s">
        <v>111</v>
      </c>
      <c r="P38" s="28" t="s">
        <v>157</v>
      </c>
    </row>
    <row r="39" spans="1:16">
      <c r="A39" s="51">
        <v>37</v>
      </c>
      <c r="B39" s="29">
        <f t="shared" ca="1" si="0"/>
        <v>44549</v>
      </c>
      <c r="C39" s="30">
        <f t="shared" ref="C39:C44" ca="1" si="21">RANDBETWEEN(5745454,24054584054)</f>
        <v>7950598791</v>
      </c>
      <c r="D39" s="30"/>
      <c r="E39" s="29">
        <f t="shared" ca="1" si="2"/>
        <v>44532</v>
      </c>
      <c r="F39" s="31">
        <f t="shared" ca="1" si="3"/>
        <v>70611.94</v>
      </c>
      <c r="G39" s="32">
        <v>20</v>
      </c>
      <c r="H39" s="33">
        <v>1714.86</v>
      </c>
      <c r="I39" s="34">
        <f t="shared" ref="I39:I44" ca="1" si="22">RANDBETWEEN(25,100)</f>
        <v>84</v>
      </c>
      <c r="J39" s="34"/>
      <c r="K39" s="34">
        <f t="shared" ref="K39:K44" ca="1" si="23">I39*1.05</f>
        <v>88.2</v>
      </c>
      <c r="L39" s="35" t="s">
        <v>51</v>
      </c>
      <c r="M39" s="29">
        <f t="shared" ca="1" si="6"/>
        <v>44563</v>
      </c>
      <c r="N39" s="14" t="s">
        <v>68</v>
      </c>
      <c r="O39" s="49" t="s">
        <v>112</v>
      </c>
      <c r="P39" s="30" t="s">
        <v>158</v>
      </c>
    </row>
    <row r="40" spans="1:16">
      <c r="A40" s="51">
        <v>38</v>
      </c>
      <c r="B40" s="29">
        <f t="shared" ca="1" si="0"/>
        <v>44553</v>
      </c>
      <c r="C40" s="30">
        <f t="shared" ca="1" si="21"/>
        <v>7514695836</v>
      </c>
      <c r="D40" s="30"/>
      <c r="E40" s="29">
        <f t="shared" ca="1" si="2"/>
        <v>44534</v>
      </c>
      <c r="F40" s="31">
        <f t="shared" ca="1" si="3"/>
        <v>25769</v>
      </c>
      <c r="G40" s="32">
        <v>20</v>
      </c>
      <c r="H40" s="33">
        <f t="shared" ca="1" si="7"/>
        <v>4294.83</v>
      </c>
      <c r="I40" s="34">
        <f t="shared" ca="1" si="22"/>
        <v>49</v>
      </c>
      <c r="J40" s="34"/>
      <c r="K40" s="34">
        <f t="shared" ca="1" si="23"/>
        <v>51.45</v>
      </c>
      <c r="L40" s="35" t="s">
        <v>51</v>
      </c>
      <c r="M40" s="29">
        <f t="shared" ca="1" si="6"/>
        <v>44567</v>
      </c>
      <c r="N40" s="14" t="s">
        <v>69</v>
      </c>
      <c r="O40" s="49" t="s">
        <v>113</v>
      </c>
      <c r="P40" s="30" t="s">
        <v>159</v>
      </c>
    </row>
    <row r="41" spans="1:16">
      <c r="A41" s="51">
        <v>39</v>
      </c>
      <c r="B41" s="29">
        <f t="shared" ca="1" si="0"/>
        <v>44549</v>
      </c>
      <c r="C41" s="30">
        <f t="shared" ca="1" si="21"/>
        <v>8917736472</v>
      </c>
      <c r="D41" s="30"/>
      <c r="E41" s="29">
        <f t="shared" ca="1" si="2"/>
        <v>44533</v>
      </c>
      <c r="F41" s="31">
        <f t="shared" ca="1" si="3"/>
        <v>60579.15</v>
      </c>
      <c r="G41" s="32">
        <v>0</v>
      </c>
      <c r="H41" s="33">
        <f t="shared" ca="1" si="7"/>
        <v>0</v>
      </c>
      <c r="I41" s="34">
        <f t="shared" ca="1" si="22"/>
        <v>78</v>
      </c>
      <c r="J41" s="34"/>
      <c r="K41" s="34">
        <f t="shared" ca="1" si="23"/>
        <v>81.900000000000006</v>
      </c>
      <c r="L41" s="35" t="s">
        <v>55</v>
      </c>
      <c r="M41" s="29">
        <f t="shared" ca="1" si="6"/>
        <v>44563</v>
      </c>
      <c r="N41" s="14" t="s">
        <v>64</v>
      </c>
      <c r="O41" s="52" t="s">
        <v>114</v>
      </c>
      <c r="P41" s="30" t="s">
        <v>160</v>
      </c>
    </row>
    <row r="42" spans="1:16">
      <c r="A42" s="51">
        <v>40</v>
      </c>
      <c r="B42" s="29">
        <f t="shared" ca="1" si="0"/>
        <v>44550</v>
      </c>
      <c r="C42" s="30">
        <f t="shared" ca="1" si="21"/>
        <v>4438526179</v>
      </c>
      <c r="D42" s="30"/>
      <c r="E42" s="29">
        <f t="shared" ca="1" si="2"/>
        <v>44526</v>
      </c>
      <c r="F42" s="31">
        <f t="shared" ca="1" si="3"/>
        <v>62977.93</v>
      </c>
      <c r="G42" s="32">
        <v>20</v>
      </c>
      <c r="H42" s="33">
        <f t="shared" ca="1" si="7"/>
        <v>10496.32</v>
      </c>
      <c r="I42" s="34">
        <f t="shared" ca="1" si="22"/>
        <v>29</v>
      </c>
      <c r="J42" s="34"/>
      <c r="K42" s="34">
        <f t="shared" ca="1" si="23"/>
        <v>30.450000000000003</v>
      </c>
      <c r="L42" s="35" t="s">
        <v>55</v>
      </c>
      <c r="M42" s="29">
        <f t="shared" ca="1" si="6"/>
        <v>44564</v>
      </c>
      <c r="N42" s="14" t="s">
        <v>69</v>
      </c>
      <c r="O42" s="52" t="s">
        <v>115</v>
      </c>
      <c r="P42" s="30" t="s">
        <v>161</v>
      </c>
    </row>
    <row r="43" spans="1:16">
      <c r="A43" s="51">
        <v>41</v>
      </c>
      <c r="B43" s="29">
        <f t="shared" ca="1" si="0"/>
        <v>44561</v>
      </c>
      <c r="C43" s="30">
        <f t="shared" ca="1" si="21"/>
        <v>18584744927</v>
      </c>
      <c r="D43" s="30"/>
      <c r="E43" s="29">
        <f t="shared" ca="1" si="2"/>
        <v>44541</v>
      </c>
      <c r="F43" s="31">
        <f t="shared" ca="1" si="3"/>
        <v>99575.88</v>
      </c>
      <c r="G43" s="32">
        <v>20</v>
      </c>
      <c r="H43" s="33">
        <f t="shared" ca="1" si="7"/>
        <v>16595.98</v>
      </c>
      <c r="I43" s="34">
        <f t="shared" ca="1" si="22"/>
        <v>62</v>
      </c>
      <c r="J43" s="34"/>
      <c r="K43" s="34">
        <f t="shared" ca="1" si="23"/>
        <v>65.100000000000009</v>
      </c>
      <c r="L43" s="35" t="s">
        <v>47</v>
      </c>
      <c r="M43" s="29">
        <f t="shared" ca="1" si="6"/>
        <v>44575</v>
      </c>
      <c r="N43" s="14" t="s">
        <v>64</v>
      </c>
      <c r="O43" s="52" t="s">
        <v>116</v>
      </c>
      <c r="P43" s="30" t="s">
        <v>162</v>
      </c>
    </row>
    <row r="44" spans="1:16" ht="15" customHeight="1">
      <c r="A44" s="51">
        <v>42</v>
      </c>
      <c r="B44" s="29">
        <f t="shared" ca="1" si="0"/>
        <v>44552</v>
      </c>
      <c r="C44" s="30">
        <f t="shared" ca="1" si="21"/>
        <v>2277514013</v>
      </c>
      <c r="D44" s="30"/>
      <c r="E44" s="29">
        <f t="shared" ca="1" si="2"/>
        <v>44525</v>
      </c>
      <c r="F44" s="31">
        <f t="shared" ca="1" si="3"/>
        <v>88203.87</v>
      </c>
      <c r="G44" s="32">
        <v>20</v>
      </c>
      <c r="H44" s="33">
        <v>29624.45</v>
      </c>
      <c r="I44" s="34">
        <f t="shared" ca="1" si="22"/>
        <v>49</v>
      </c>
      <c r="J44" s="34"/>
      <c r="K44" s="34">
        <f t="shared" ca="1" si="23"/>
        <v>51.45</v>
      </c>
      <c r="L44" s="35" t="s">
        <v>47</v>
      </c>
      <c r="M44" s="29">
        <f t="shared" ca="1" si="6"/>
        <v>44566</v>
      </c>
      <c r="N44" s="24" t="s">
        <v>66</v>
      </c>
      <c r="O44" s="49" t="s">
        <v>117</v>
      </c>
      <c r="P44" s="30" t="s">
        <v>163</v>
      </c>
    </row>
    <row r="45" spans="1:16">
      <c r="A45" s="51">
        <v>43</v>
      </c>
      <c r="B45" s="29">
        <f t="shared" ca="1" si="0"/>
        <v>44556</v>
      </c>
      <c r="C45" s="30"/>
      <c r="D45" s="30">
        <f t="shared" ref="D45:D46" ca="1" si="24">RANDBETWEEN(5745454,24054584054)</f>
        <v>13784230230</v>
      </c>
      <c r="E45" s="29">
        <f t="shared" ca="1" si="2"/>
        <v>44534</v>
      </c>
      <c r="F45" s="31">
        <f t="shared" ca="1" si="3"/>
        <v>78380.58</v>
      </c>
      <c r="G45" s="32">
        <v>20</v>
      </c>
      <c r="H45" s="33">
        <f t="shared" ca="1" si="7"/>
        <v>13063.43</v>
      </c>
      <c r="I45" s="34"/>
      <c r="J45" s="34">
        <f t="shared" ref="J45:J46" ca="1" si="25">RANDBETWEEN(25,100)</f>
        <v>61</v>
      </c>
      <c r="K45" s="34">
        <f t="shared" ref="K45:K46" ca="1" si="26">J45*1.05</f>
        <v>64.05</v>
      </c>
      <c r="L45" s="35" t="s">
        <v>47</v>
      </c>
      <c r="M45" s="29">
        <f t="shared" ca="1" si="6"/>
        <v>44570</v>
      </c>
      <c r="N45" s="14" t="s">
        <v>67</v>
      </c>
      <c r="O45" s="52" t="s">
        <v>118</v>
      </c>
      <c r="P45" s="30" t="s">
        <v>164</v>
      </c>
    </row>
    <row r="46" spans="1:16">
      <c r="A46" s="51">
        <v>44</v>
      </c>
      <c r="B46" s="29">
        <f t="shared" ca="1" si="0"/>
        <v>44564</v>
      </c>
      <c r="C46" s="30"/>
      <c r="D46" s="30">
        <f t="shared" ca="1" si="24"/>
        <v>23808549418</v>
      </c>
      <c r="E46" s="29">
        <f t="shared" ca="1" si="2"/>
        <v>44541</v>
      </c>
      <c r="F46" s="31">
        <f t="shared" ca="1" si="3"/>
        <v>33916.01</v>
      </c>
      <c r="G46" s="32">
        <v>20</v>
      </c>
      <c r="H46" s="33">
        <f t="shared" ca="1" si="7"/>
        <v>5652.67</v>
      </c>
      <c r="I46" s="44"/>
      <c r="J46" s="34">
        <f t="shared" ca="1" si="25"/>
        <v>77</v>
      </c>
      <c r="K46" s="34">
        <f t="shared" ca="1" si="26"/>
        <v>80.850000000000009</v>
      </c>
      <c r="L46" s="35" t="s">
        <v>47</v>
      </c>
      <c r="M46" s="29">
        <f t="shared" ca="1" si="6"/>
        <v>44578</v>
      </c>
      <c r="N46" s="14" t="s">
        <v>68</v>
      </c>
      <c r="O46" s="52" t="s">
        <v>119</v>
      </c>
      <c r="P46" s="30" t="s">
        <v>165</v>
      </c>
    </row>
    <row r="47" spans="1:16">
      <c r="A47" s="51">
        <v>45</v>
      </c>
      <c r="B47" s="29">
        <f t="shared" ca="1" si="0"/>
        <v>44563</v>
      </c>
      <c r="C47" s="30">
        <f t="shared" ref="C47:C48" ca="1" si="27">RANDBETWEEN(5745454,24054584054)</f>
        <v>23337561752</v>
      </c>
      <c r="D47" s="30"/>
      <c r="E47" s="29">
        <f t="shared" ca="1" si="2"/>
        <v>44539</v>
      </c>
      <c r="F47" s="31">
        <f t="shared" ca="1" si="3"/>
        <v>81665.31</v>
      </c>
      <c r="G47" s="32">
        <v>20</v>
      </c>
      <c r="H47" s="33">
        <f t="shared" ca="1" si="7"/>
        <v>13610.89</v>
      </c>
      <c r="I47" s="34">
        <f t="shared" ref="I47:I48" ca="1" si="28">RANDBETWEEN(25,100)</f>
        <v>51</v>
      </c>
      <c r="J47" s="34"/>
      <c r="K47" s="34">
        <f t="shared" ref="K47:K48" ca="1" si="29">I47*1.05</f>
        <v>53.550000000000004</v>
      </c>
      <c r="L47" s="35" t="s">
        <v>47</v>
      </c>
      <c r="M47" s="29">
        <f t="shared" ca="1" si="6"/>
        <v>44577</v>
      </c>
      <c r="N47" s="14" t="s">
        <v>69</v>
      </c>
      <c r="O47" s="52" t="s">
        <v>120</v>
      </c>
      <c r="P47" s="30" t="s">
        <v>166</v>
      </c>
    </row>
    <row r="48" spans="1:16">
      <c r="A48" s="51">
        <v>46</v>
      </c>
      <c r="B48" s="29">
        <f t="shared" ca="1" si="0"/>
        <v>44553</v>
      </c>
      <c r="C48" s="30">
        <f t="shared" ca="1" si="27"/>
        <v>3424795155</v>
      </c>
      <c r="D48" s="30"/>
      <c r="E48" s="29">
        <f t="shared" ca="1" si="2"/>
        <v>44539</v>
      </c>
      <c r="F48" s="31">
        <f t="shared" ca="1" si="3"/>
        <v>21203.51</v>
      </c>
      <c r="G48" s="32">
        <v>20</v>
      </c>
      <c r="H48" s="33">
        <v>4740</v>
      </c>
      <c r="I48" s="34">
        <f t="shared" ca="1" si="28"/>
        <v>48</v>
      </c>
      <c r="J48" s="34"/>
      <c r="K48" s="34">
        <f t="shared" ca="1" si="29"/>
        <v>50.400000000000006</v>
      </c>
      <c r="L48" s="35" t="s">
        <v>51</v>
      </c>
      <c r="M48" s="29">
        <f t="shared" ca="1" si="6"/>
        <v>44567</v>
      </c>
      <c r="N48" s="14" t="s">
        <v>64</v>
      </c>
      <c r="O48" s="52" t="s">
        <v>121</v>
      </c>
      <c r="P48" s="30" t="s">
        <v>167</v>
      </c>
    </row>
    <row r="49" spans="1:16">
      <c r="A49" s="51"/>
      <c r="B49" s="48"/>
      <c r="C49" s="30"/>
      <c r="D49" s="30"/>
      <c r="E49" s="50"/>
      <c r="F49" s="34"/>
      <c r="G49" s="67"/>
      <c r="H49" s="45"/>
      <c r="I49" s="34"/>
      <c r="J49" s="34"/>
      <c r="K49" s="34"/>
      <c r="L49" s="42"/>
      <c r="M49" s="50"/>
      <c r="N49" s="14"/>
      <c r="O49" s="52"/>
      <c r="P49" s="30"/>
    </row>
    <row r="50" spans="1:16">
      <c r="A50" s="51"/>
      <c r="B50" s="48"/>
      <c r="C50" s="30"/>
      <c r="D50" s="30"/>
      <c r="E50" s="50"/>
      <c r="F50" s="34"/>
      <c r="G50" s="67"/>
      <c r="H50" s="45"/>
      <c r="I50" s="44"/>
      <c r="J50" s="44"/>
      <c r="K50" s="44"/>
      <c r="L50" s="42"/>
      <c r="M50" s="50"/>
      <c r="N50" s="38"/>
      <c r="O50" s="52"/>
      <c r="P50" s="30"/>
    </row>
    <row r="51" spans="1:16">
      <c r="A51" s="51"/>
      <c r="B51" s="48"/>
      <c r="C51" s="30"/>
      <c r="D51" s="30"/>
      <c r="E51" s="50"/>
      <c r="F51" s="34"/>
      <c r="G51" s="67"/>
      <c r="H51" s="45"/>
      <c r="I51" s="34"/>
      <c r="J51" s="34"/>
      <c r="K51" s="34"/>
      <c r="L51" s="42"/>
      <c r="M51" s="50"/>
      <c r="N51" s="38"/>
      <c r="O51" s="52"/>
      <c r="P51" s="30"/>
    </row>
    <row r="52" spans="1:16">
      <c r="A52" s="51"/>
      <c r="B52" s="48"/>
      <c r="C52" s="30"/>
      <c r="D52" s="30"/>
      <c r="E52" s="50"/>
      <c r="F52" s="34"/>
      <c r="G52" s="67"/>
      <c r="H52" s="45"/>
      <c r="I52" s="34"/>
      <c r="J52" s="34"/>
      <c r="K52" s="54"/>
      <c r="L52" s="53"/>
      <c r="M52" s="50"/>
      <c r="N52" s="38"/>
      <c r="O52" s="52"/>
      <c r="P52" s="30"/>
    </row>
    <row r="53" spans="1:16">
      <c r="A53" s="51"/>
      <c r="B53" s="48"/>
      <c r="C53" s="30"/>
      <c r="D53" s="30"/>
      <c r="E53" s="50"/>
      <c r="F53" s="34"/>
      <c r="G53" s="67"/>
      <c r="H53" s="45"/>
      <c r="I53" s="34"/>
      <c r="J53" s="34"/>
      <c r="K53" s="54"/>
      <c r="L53" s="53"/>
      <c r="M53" s="50"/>
      <c r="N53" s="38"/>
      <c r="O53" s="52"/>
      <c r="P53" s="30"/>
    </row>
    <row r="54" spans="1:16">
      <c r="A54" s="51"/>
      <c r="B54" s="48"/>
      <c r="C54" s="30"/>
      <c r="D54" s="30"/>
      <c r="E54" s="50"/>
      <c r="F54" s="34"/>
      <c r="G54" s="67"/>
      <c r="H54" s="45"/>
      <c r="I54" s="34"/>
      <c r="J54" s="55"/>
      <c r="K54" s="34"/>
      <c r="L54" s="42"/>
      <c r="M54" s="50"/>
      <c r="N54" s="38"/>
      <c r="O54" s="52"/>
      <c r="P54" s="30"/>
    </row>
    <row r="55" spans="1:16">
      <c r="A55" s="51"/>
      <c r="B55" s="48"/>
      <c r="C55" s="30"/>
      <c r="D55" s="30"/>
      <c r="E55" s="50"/>
      <c r="F55" s="34"/>
      <c r="G55" s="67"/>
      <c r="H55" s="45"/>
      <c r="I55" s="34"/>
      <c r="J55" s="34"/>
      <c r="K55" s="34"/>
      <c r="L55" s="42"/>
      <c r="M55" s="50"/>
      <c r="N55" s="38"/>
      <c r="O55" s="52"/>
      <c r="P55" s="30"/>
    </row>
    <row r="56" spans="1:16">
      <c r="A56" s="51"/>
      <c r="B56" s="48"/>
      <c r="C56" s="30"/>
      <c r="D56" s="30"/>
      <c r="E56" s="50"/>
      <c r="F56" s="34"/>
      <c r="G56" s="67"/>
      <c r="H56" s="45"/>
      <c r="I56" s="34"/>
      <c r="J56" s="34"/>
      <c r="K56" s="34"/>
      <c r="L56" s="42"/>
      <c r="M56" s="50"/>
      <c r="N56" s="38"/>
      <c r="O56" s="52"/>
      <c r="P56" s="30"/>
    </row>
    <row r="57" spans="1:16">
      <c r="A57" s="51"/>
      <c r="B57" s="48"/>
      <c r="C57" s="30"/>
      <c r="D57" s="30"/>
      <c r="E57" s="50"/>
      <c r="F57" s="34"/>
      <c r="G57" s="67"/>
      <c r="H57" s="45"/>
      <c r="I57" s="34"/>
      <c r="J57" s="34"/>
      <c r="K57" s="34"/>
      <c r="L57" s="42"/>
      <c r="M57" s="50"/>
      <c r="N57" s="38"/>
      <c r="O57" s="52"/>
      <c r="P57" s="30"/>
    </row>
    <row r="58" spans="1:16">
      <c r="A58" s="51"/>
      <c r="B58" s="48"/>
      <c r="C58" s="30"/>
      <c r="D58" s="30"/>
      <c r="E58" s="50"/>
      <c r="F58" s="34"/>
      <c r="G58" s="67"/>
      <c r="H58" s="45"/>
      <c r="I58" s="34"/>
      <c r="J58" s="34"/>
      <c r="K58" s="34"/>
      <c r="L58" s="42"/>
      <c r="M58" s="50"/>
      <c r="N58" s="38"/>
      <c r="O58" s="52"/>
      <c r="P58" s="30"/>
    </row>
    <row r="59" spans="1:16">
      <c r="A59" s="51"/>
      <c r="B59" s="48"/>
      <c r="C59" s="42"/>
      <c r="D59" s="30"/>
      <c r="E59" s="50"/>
      <c r="F59" s="34"/>
      <c r="G59" s="67"/>
      <c r="H59" s="45"/>
      <c r="I59" s="34"/>
      <c r="J59" s="34"/>
      <c r="K59" s="34"/>
      <c r="L59" s="42"/>
      <c r="M59" s="50"/>
      <c r="N59" s="43"/>
      <c r="O59" s="52"/>
      <c r="P59" s="30"/>
    </row>
    <row r="60" spans="1:16">
      <c r="A60" s="51"/>
      <c r="B60" s="48"/>
      <c r="C60" s="42"/>
      <c r="D60" s="30"/>
      <c r="E60" s="50"/>
      <c r="F60" s="34"/>
      <c r="G60" s="67"/>
      <c r="H60" s="45"/>
      <c r="I60" s="34"/>
      <c r="J60" s="55"/>
      <c r="K60" s="34"/>
      <c r="L60" s="42"/>
      <c r="M60" s="50"/>
      <c r="N60" s="43"/>
      <c r="O60" s="52"/>
      <c r="P60" s="30"/>
    </row>
    <row r="61" spans="1:16">
      <c r="A61" s="51"/>
      <c r="B61" s="48"/>
      <c r="C61" s="42"/>
      <c r="D61" s="30"/>
      <c r="E61" s="50"/>
      <c r="F61" s="34"/>
      <c r="G61" s="67"/>
      <c r="H61" s="45"/>
      <c r="I61" s="34"/>
      <c r="J61" s="34"/>
      <c r="K61" s="34"/>
      <c r="L61" s="42"/>
      <c r="M61" s="50"/>
      <c r="N61" s="43"/>
      <c r="O61" s="52"/>
      <c r="P61" s="30"/>
    </row>
    <row r="62" spans="1:16">
      <c r="A62" s="51"/>
      <c r="B62" s="48"/>
      <c r="C62" s="42"/>
      <c r="D62" s="42"/>
      <c r="E62" s="50"/>
      <c r="F62" s="31"/>
      <c r="G62" s="67"/>
      <c r="H62" s="45"/>
      <c r="I62" s="56"/>
      <c r="J62" s="56"/>
      <c r="K62" s="56"/>
      <c r="L62" s="42"/>
      <c r="M62" s="50"/>
      <c r="N62" s="43"/>
      <c r="O62" s="37"/>
      <c r="P62" s="30"/>
    </row>
    <row r="63" spans="1:16">
      <c r="A63" s="51"/>
      <c r="B63" s="48"/>
      <c r="C63" s="42"/>
      <c r="D63" s="42"/>
      <c r="E63" s="50"/>
      <c r="F63" s="31"/>
      <c r="G63" s="67"/>
      <c r="H63" s="45"/>
      <c r="I63" s="56"/>
      <c r="J63" s="56"/>
      <c r="K63" s="56"/>
      <c r="L63" s="42"/>
      <c r="M63" s="50"/>
      <c r="N63" s="43"/>
      <c r="O63" s="37"/>
      <c r="P63" s="30"/>
    </row>
    <row r="64" spans="1:16">
      <c r="A64" s="63"/>
      <c r="B64" s="57"/>
      <c r="C64" s="60"/>
      <c r="D64" s="60"/>
      <c r="E64" s="58"/>
      <c r="F64" s="64"/>
      <c r="G64" s="67"/>
      <c r="H64" s="45"/>
      <c r="I64" s="9"/>
      <c r="J64" s="9"/>
      <c r="K64" s="9"/>
      <c r="L64" s="60"/>
      <c r="M64" s="57"/>
      <c r="N64" s="62"/>
      <c r="O64" s="27"/>
      <c r="P64" s="8"/>
    </row>
    <row r="65" spans="1:16">
      <c r="A65" s="63"/>
      <c r="B65" s="57"/>
      <c r="C65" s="60"/>
      <c r="D65" s="60"/>
      <c r="E65" s="57"/>
      <c r="F65" s="64"/>
      <c r="G65" s="67"/>
      <c r="H65" s="45"/>
      <c r="I65" s="9"/>
      <c r="J65" s="9"/>
      <c r="K65" s="9"/>
      <c r="L65" s="60"/>
      <c r="M65" s="57"/>
      <c r="N65" s="62"/>
      <c r="O65" s="8"/>
      <c r="P65" s="8"/>
    </row>
    <row r="66" spans="1:16">
      <c r="A66" s="63"/>
      <c r="B66" s="57"/>
      <c r="C66" s="60"/>
      <c r="D66" s="60"/>
      <c r="E66" s="57"/>
      <c r="F66" s="64"/>
      <c r="G66" s="67"/>
      <c r="H66" s="45"/>
      <c r="I66" s="9"/>
      <c r="J66" s="9"/>
      <c r="K66" s="9"/>
      <c r="L66" s="60"/>
      <c r="M66" s="57"/>
      <c r="N66" s="62"/>
      <c r="O66" s="8"/>
      <c r="P66" s="8"/>
    </row>
    <row r="67" spans="1:16">
      <c r="A67" s="63"/>
      <c r="B67" s="57"/>
      <c r="C67" s="60"/>
      <c r="D67" s="60"/>
      <c r="E67" s="57"/>
      <c r="F67" s="64"/>
      <c r="G67" s="67"/>
      <c r="H67" s="45"/>
      <c r="I67" s="9"/>
      <c r="J67" s="9"/>
      <c r="K67" s="9"/>
      <c r="L67" s="60"/>
      <c r="M67" s="57"/>
      <c r="N67" s="62"/>
      <c r="O67" s="8"/>
      <c r="P67" s="8"/>
    </row>
    <row r="68" spans="1:16">
      <c r="A68" s="63"/>
      <c r="B68" s="57"/>
      <c r="C68" s="60"/>
      <c r="D68" s="60"/>
      <c r="E68" s="57"/>
      <c r="F68" s="64"/>
      <c r="G68" s="67"/>
      <c r="H68" s="45"/>
      <c r="I68" s="9"/>
      <c r="J68" s="9"/>
      <c r="K68" s="9"/>
      <c r="L68" s="60"/>
      <c r="M68" s="57"/>
      <c r="N68" s="62"/>
      <c r="O68" s="8"/>
      <c r="P68" s="8"/>
    </row>
    <row r="69" spans="1:16">
      <c r="A69" s="63"/>
      <c r="B69" s="57"/>
      <c r="C69" s="60"/>
      <c r="D69" s="60"/>
      <c r="E69" s="57"/>
      <c r="F69" s="64"/>
      <c r="G69" s="67"/>
      <c r="H69" s="45"/>
      <c r="I69" s="9"/>
      <c r="J69" s="9"/>
      <c r="K69" s="9"/>
      <c r="L69" s="60"/>
      <c r="M69" s="57"/>
      <c r="N69" s="62"/>
      <c r="O69" s="8"/>
      <c r="P69" s="8"/>
    </row>
    <row r="70" spans="1:16">
      <c r="A70" s="63"/>
      <c r="B70" s="57"/>
      <c r="C70" s="60"/>
      <c r="D70" s="60"/>
      <c r="E70" s="57"/>
      <c r="F70" s="64"/>
      <c r="G70" s="67"/>
      <c r="H70" s="45"/>
      <c r="I70" s="9"/>
      <c r="J70" s="9"/>
      <c r="K70" s="9"/>
      <c r="L70" s="60"/>
      <c r="M70" s="57"/>
      <c r="N70" s="62"/>
      <c r="O70" s="8"/>
      <c r="P70" s="8"/>
    </row>
    <row r="71" spans="1:16">
      <c r="A71" s="63"/>
      <c r="B71" s="57"/>
      <c r="C71" s="60"/>
      <c r="D71" s="60"/>
      <c r="E71" s="57"/>
      <c r="F71" s="64"/>
      <c r="G71" s="67"/>
      <c r="H71" s="45"/>
      <c r="I71" s="9"/>
      <c r="J71" s="9"/>
      <c r="K71" s="9"/>
      <c r="L71" s="60"/>
      <c r="M71" s="57"/>
      <c r="N71" s="62"/>
      <c r="O71" s="8"/>
      <c r="P71" s="8"/>
    </row>
    <row r="72" spans="1:16">
      <c r="A72" s="63"/>
      <c r="B72" s="57"/>
      <c r="C72" s="60"/>
      <c r="D72" s="60"/>
      <c r="E72" s="57"/>
      <c r="F72" s="64"/>
      <c r="G72" s="67"/>
      <c r="H72" s="45"/>
      <c r="I72" s="9"/>
      <c r="J72" s="9"/>
      <c r="K72" s="9"/>
      <c r="L72" s="60"/>
      <c r="M72" s="57"/>
      <c r="N72" s="62"/>
      <c r="O72" s="8"/>
      <c r="P72" s="8"/>
    </row>
    <row r="73" spans="1:16">
      <c r="A73" s="63"/>
      <c r="B73" s="57"/>
      <c r="C73" s="60"/>
      <c r="D73" s="60"/>
      <c r="E73" s="57"/>
      <c r="F73" s="64"/>
      <c r="G73" s="67"/>
      <c r="H73" s="45"/>
      <c r="I73" s="9"/>
      <c r="J73" s="9"/>
      <c r="K73" s="9"/>
      <c r="L73" s="60"/>
      <c r="M73" s="57"/>
      <c r="N73" s="62"/>
      <c r="O73" s="8"/>
      <c r="P73" s="8"/>
    </row>
    <row r="74" spans="1:16">
      <c r="A74" s="63"/>
      <c r="B74" s="57"/>
      <c r="C74" s="60"/>
      <c r="D74" s="60"/>
      <c r="E74" s="57"/>
      <c r="F74" s="64"/>
      <c r="G74" s="67"/>
      <c r="H74" s="45"/>
      <c r="I74" s="9"/>
      <c r="J74" s="9"/>
      <c r="K74" s="9"/>
      <c r="L74" s="60"/>
      <c r="M74" s="57"/>
      <c r="N74" s="62"/>
      <c r="O74" s="8"/>
      <c r="P74" s="8"/>
    </row>
    <row r="75" spans="1:16">
      <c r="A75" s="63"/>
      <c r="B75" s="57"/>
      <c r="C75" s="60"/>
      <c r="D75" s="60"/>
      <c r="E75" s="57"/>
      <c r="F75" s="64"/>
      <c r="G75" s="67"/>
      <c r="H75" s="45"/>
      <c r="I75" s="9"/>
      <c r="J75" s="9"/>
      <c r="K75" s="9"/>
      <c r="L75" s="60"/>
      <c r="M75" s="57"/>
      <c r="N75" s="62"/>
      <c r="O75" s="8"/>
      <c r="P75" s="8"/>
    </row>
    <row r="76" spans="1:16">
      <c r="A76" s="63"/>
      <c r="B76" s="57"/>
      <c r="C76" s="60"/>
      <c r="D76" s="60"/>
      <c r="E76" s="57"/>
      <c r="F76" s="64"/>
      <c r="G76" s="67"/>
      <c r="H76" s="45"/>
      <c r="I76" s="9"/>
      <c r="J76" s="9"/>
      <c r="K76" s="9"/>
      <c r="L76" s="60"/>
      <c r="M76" s="57"/>
      <c r="N76" s="62"/>
      <c r="O76" s="8"/>
      <c r="P76" s="8"/>
    </row>
    <row r="77" spans="1:16">
      <c r="A77" s="63"/>
      <c r="B77" s="57"/>
      <c r="C77" s="60"/>
      <c r="D77" s="60"/>
      <c r="E77" s="57"/>
      <c r="F77" s="64"/>
      <c r="G77" s="67"/>
      <c r="H77" s="45"/>
      <c r="I77" s="9"/>
      <c r="J77" s="9"/>
      <c r="K77" s="9"/>
      <c r="L77" s="60"/>
      <c r="M77" s="57"/>
      <c r="N77" s="62"/>
      <c r="O77" s="8"/>
      <c r="P77" s="8"/>
    </row>
    <row r="78" spans="1:16">
      <c r="A78" s="63"/>
      <c r="B78" s="57"/>
      <c r="C78" s="60"/>
      <c r="D78" s="60"/>
      <c r="E78" s="57"/>
      <c r="F78" s="64"/>
      <c r="G78" s="67"/>
      <c r="H78" s="45"/>
      <c r="I78" s="9"/>
      <c r="J78" s="9"/>
      <c r="K78" s="9"/>
      <c r="L78" s="60"/>
      <c r="M78" s="57"/>
      <c r="N78" s="62"/>
      <c r="O78" s="8"/>
      <c r="P78" s="8"/>
    </row>
    <row r="79" spans="1:16">
      <c r="A79" s="63"/>
      <c r="B79" s="57"/>
      <c r="C79" s="60"/>
      <c r="D79" s="60"/>
      <c r="E79" s="57"/>
      <c r="F79" s="64"/>
      <c r="G79" s="67"/>
      <c r="H79" s="45"/>
      <c r="I79" s="9"/>
      <c r="J79" s="9"/>
      <c r="K79" s="9"/>
      <c r="L79" s="60"/>
      <c r="M79" s="57"/>
      <c r="N79" s="62"/>
      <c r="O79" s="8"/>
      <c r="P79" s="8"/>
    </row>
    <row r="80" spans="1:16">
      <c r="A80" s="63"/>
      <c r="B80" s="57"/>
      <c r="C80" s="60"/>
      <c r="D80" s="60"/>
      <c r="E80" s="57"/>
      <c r="F80" s="64"/>
      <c r="G80" s="67"/>
      <c r="H80" s="45"/>
      <c r="I80" s="9"/>
      <c r="J80" s="9"/>
      <c r="K80" s="9"/>
      <c r="L80" s="60"/>
      <c r="M80" s="57"/>
      <c r="N80" s="62"/>
      <c r="O80" s="8"/>
      <c r="P80" s="8"/>
    </row>
    <row r="81" spans="1:16">
      <c r="A81" s="63"/>
      <c r="B81" s="57"/>
      <c r="C81" s="60"/>
      <c r="D81" s="60"/>
      <c r="E81" s="57"/>
      <c r="F81" s="64"/>
      <c r="G81" s="67"/>
      <c r="H81" s="45"/>
      <c r="I81" s="9"/>
      <c r="J81" s="9"/>
      <c r="K81" s="9"/>
      <c r="L81" s="60"/>
      <c r="M81" s="57"/>
      <c r="N81" s="62"/>
      <c r="O81" s="8"/>
      <c r="P81" s="8"/>
    </row>
    <row r="82" spans="1:16">
      <c r="A82" s="8"/>
      <c r="B82" s="57"/>
      <c r="C82" s="60"/>
      <c r="D82" s="8"/>
      <c r="E82" s="57"/>
      <c r="F82" s="64"/>
      <c r="G82" s="67"/>
      <c r="H82" s="45"/>
      <c r="I82" s="9"/>
      <c r="J82" s="9"/>
      <c r="K82" s="9"/>
      <c r="L82" s="60"/>
      <c r="M82" s="57"/>
      <c r="N82" s="62"/>
      <c r="O82" s="8"/>
      <c r="P82" s="8"/>
    </row>
    <row r="83" spans="1:16">
      <c r="A83" s="8"/>
      <c r="B83" s="57"/>
      <c r="C83" s="60"/>
      <c r="D83" s="8"/>
      <c r="E83" s="57"/>
      <c r="F83" s="64"/>
      <c r="G83" s="67"/>
      <c r="H83" s="45"/>
      <c r="I83" s="9"/>
      <c r="J83" s="9"/>
      <c r="K83" s="9"/>
      <c r="L83" s="60"/>
      <c r="M83" s="57"/>
      <c r="N83" s="61"/>
      <c r="O83" s="8"/>
      <c r="P83" s="8"/>
    </row>
    <row r="84" spans="1:16">
      <c r="A84" s="8"/>
      <c r="B84" s="57"/>
      <c r="C84" s="60"/>
      <c r="D84" s="8"/>
      <c r="E84" s="57"/>
      <c r="F84" s="9"/>
      <c r="G84" s="59"/>
      <c r="H84" s="9"/>
      <c r="I84" s="9"/>
      <c r="J84" s="9"/>
      <c r="K84" s="9"/>
      <c r="L84" s="60"/>
      <c r="M84" s="57"/>
      <c r="N84" s="61"/>
      <c r="O84" s="8"/>
      <c r="P84" s="8"/>
    </row>
    <row r="85" spans="1:16">
      <c r="A85" s="8"/>
      <c r="B85" s="57"/>
      <c r="C85" s="60"/>
      <c r="D85" s="8"/>
      <c r="E85" s="57"/>
      <c r="F85" s="9"/>
      <c r="G85" s="59"/>
      <c r="H85" s="9"/>
      <c r="I85" s="9"/>
      <c r="J85" s="9"/>
      <c r="K85" s="9"/>
      <c r="L85" s="60"/>
      <c r="M85" s="57"/>
      <c r="N85" s="61"/>
      <c r="O85" s="8"/>
      <c r="P85" s="8"/>
    </row>
    <row r="86" spans="1:16">
      <c r="A86" s="8"/>
      <c r="B86" s="57"/>
      <c r="C86" s="8"/>
      <c r="D86" s="8"/>
      <c r="E86" s="57"/>
      <c r="F86" s="9"/>
      <c r="G86" s="59"/>
      <c r="H86" s="9"/>
      <c r="I86" s="9"/>
      <c r="J86" s="9"/>
      <c r="K86" s="9"/>
      <c r="L86" s="60"/>
      <c r="M86" s="57"/>
      <c r="N86" s="61"/>
      <c r="O86" s="8"/>
      <c r="P86" s="8"/>
    </row>
    <row r="87" spans="1:16">
      <c r="A87" s="8"/>
      <c r="B87" s="57"/>
      <c r="C87" s="8"/>
      <c r="D87" s="8"/>
      <c r="E87" s="57"/>
      <c r="F87" s="9"/>
      <c r="G87" s="59"/>
      <c r="H87" s="9"/>
      <c r="I87" s="9"/>
      <c r="J87" s="9"/>
      <c r="K87" s="9"/>
      <c r="L87" s="60"/>
      <c r="M87" s="57"/>
      <c r="N87" s="61"/>
      <c r="O87" s="8"/>
      <c r="P87" s="8"/>
    </row>
    <row r="88" spans="1:16">
      <c r="A88" s="8"/>
      <c r="B88" s="57"/>
      <c r="C88" s="8"/>
      <c r="D88" s="8"/>
      <c r="E88" s="57"/>
      <c r="F88" s="9"/>
      <c r="G88" s="59"/>
      <c r="H88" s="9"/>
      <c r="I88" s="9"/>
      <c r="J88" s="9"/>
      <c r="K88" s="9"/>
      <c r="L88" s="60"/>
      <c r="M88" s="57"/>
      <c r="N88" s="61"/>
      <c r="O88" s="8"/>
      <c r="P88" s="8"/>
    </row>
    <row r="89" spans="1:16">
      <c r="A89" s="8"/>
      <c r="B89" s="57"/>
      <c r="C89" s="8"/>
      <c r="D89" s="8"/>
      <c r="E89" s="57"/>
      <c r="F89" s="9"/>
      <c r="G89" s="59"/>
      <c r="H89" s="9"/>
      <c r="I89" s="9"/>
      <c r="J89" s="9"/>
      <c r="K89" s="9"/>
      <c r="L89" s="60"/>
      <c r="M89" s="57"/>
      <c r="N89" s="61"/>
      <c r="O89" s="8"/>
      <c r="P89" s="8"/>
    </row>
  </sheetData>
  <dataConsolidate/>
  <mergeCells count="13">
    <mergeCell ref="P1:P2"/>
    <mergeCell ref="O1:O2"/>
    <mergeCell ref="L1:L2"/>
    <mergeCell ref="N1:N2"/>
    <mergeCell ref="C1:D1"/>
    <mergeCell ref="M1:M2"/>
    <mergeCell ref="I1:K1"/>
    <mergeCell ref="A1:A2"/>
    <mergeCell ref="B1:B2"/>
    <mergeCell ref="E1:E2"/>
    <mergeCell ref="F1:F2"/>
    <mergeCell ref="H1:H2"/>
    <mergeCell ref="G1:G2"/>
  </mergeCells>
  <pageMargins left="0.7" right="0.7" top="0.75" bottom="0.75" header="0.3" footer="0.3"/>
  <pageSetup paperSize="9" scale="64" orientation="landscape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N8"/>
  <sheetViews>
    <sheetView topLeftCell="B1" zoomScale="85" zoomScaleNormal="85" workbookViewId="0">
      <selection activeCell="B1" sqref="B1:B2"/>
    </sheetView>
  </sheetViews>
  <sheetFormatPr defaultColWidth="9.140625" defaultRowHeight="15"/>
  <cols>
    <col min="1" max="1" width="45.42578125" style="1" customWidth="1"/>
    <col min="2" max="2" width="22.5703125" style="4" customWidth="1"/>
    <col min="3" max="3" width="15.28515625" style="18" customWidth="1"/>
    <col min="4" max="4" width="45.85546875" style="1" customWidth="1"/>
    <col min="5" max="5" width="34.42578125" style="1" customWidth="1"/>
    <col min="6" max="7" width="17.85546875" style="7" customWidth="1"/>
    <col min="8" max="8" width="24.7109375" style="7" customWidth="1"/>
    <col min="9" max="9" width="17.85546875" style="7" customWidth="1"/>
    <col min="10" max="10" width="36.85546875" style="20" customWidth="1"/>
    <col min="11" max="12" width="17.85546875" style="7" customWidth="1"/>
    <col min="13" max="13" width="23.140625" style="7" customWidth="1"/>
    <col min="14" max="14" width="17.85546875" style="7" customWidth="1"/>
    <col min="15" max="16384" width="9.140625" style="1"/>
  </cols>
  <sheetData>
    <row r="1" spans="1:14">
      <c r="A1" s="83" t="s">
        <v>38</v>
      </c>
      <c r="B1" s="86" t="s">
        <v>41</v>
      </c>
      <c r="C1" s="83" t="s">
        <v>8</v>
      </c>
      <c r="D1" s="83" t="s">
        <v>16</v>
      </c>
      <c r="E1" s="84" t="s">
        <v>19</v>
      </c>
      <c r="F1" s="82" t="s">
        <v>39</v>
      </c>
      <c r="G1" s="82"/>
      <c r="H1" s="82"/>
      <c r="I1" s="82"/>
      <c r="J1" s="82"/>
      <c r="K1" s="82"/>
      <c r="L1" s="82"/>
      <c r="M1" s="82"/>
      <c r="N1" s="82"/>
    </row>
    <row r="2" spans="1:14" ht="28.5">
      <c r="A2" s="83"/>
      <c r="B2" s="87"/>
      <c r="C2" s="83"/>
      <c r="D2" s="83"/>
      <c r="E2" s="85"/>
      <c r="F2" s="12" t="s">
        <v>22</v>
      </c>
      <c r="G2" s="12" t="s">
        <v>23</v>
      </c>
      <c r="H2" s="12" t="s">
        <v>24</v>
      </c>
      <c r="I2" s="12" t="s">
        <v>25</v>
      </c>
      <c r="J2" s="12" t="s">
        <v>26</v>
      </c>
      <c r="K2" s="12" t="s">
        <v>27</v>
      </c>
      <c r="L2" s="12" t="s">
        <v>28</v>
      </c>
      <c r="M2" s="12" t="s">
        <v>29</v>
      </c>
      <c r="N2" s="12" t="s">
        <v>30</v>
      </c>
    </row>
    <row r="3" spans="1:14" s="10" customFormat="1" ht="30">
      <c r="A3" s="13" t="s">
        <v>63</v>
      </c>
      <c r="B3" s="14" t="s">
        <v>64</v>
      </c>
      <c r="C3" s="17">
        <f ca="1">TODAY()</f>
        <v>44580</v>
      </c>
      <c r="D3" s="15" t="s">
        <v>44</v>
      </c>
      <c r="E3" s="13" t="s">
        <v>42</v>
      </c>
      <c r="F3" s="66">
        <f t="shared" ref="F3:I7" ca="1" si="0">RANDBETWEEN(100000000,999999999)</f>
        <v>874949364</v>
      </c>
      <c r="G3" s="66">
        <f t="shared" ca="1" si="0"/>
        <v>647671689</v>
      </c>
      <c r="H3" s="66">
        <f ca="1">RANDBETWEEN(100000000000000000,999999999999999000)</f>
        <v>3.8708950129001626E+17</v>
      </c>
      <c r="I3" s="66">
        <f ca="1">RANDBETWEEN(100000000,999999999)</f>
        <v>227127964</v>
      </c>
      <c r="J3" s="19" t="s">
        <v>65</v>
      </c>
      <c r="K3" s="16"/>
      <c r="L3" s="16"/>
      <c r="M3" s="16"/>
      <c r="N3" s="16"/>
    </row>
    <row r="4" spans="1:14" s="10" customFormat="1">
      <c r="A4" s="23" t="s">
        <v>70</v>
      </c>
      <c r="B4" s="24" t="s">
        <v>66</v>
      </c>
      <c r="C4" s="25">
        <v>38944</v>
      </c>
      <c r="D4" s="15" t="s">
        <v>45</v>
      </c>
      <c r="E4" s="13" t="s">
        <v>42</v>
      </c>
      <c r="F4" s="66">
        <f t="shared" ca="1" si="0"/>
        <v>200464018</v>
      </c>
      <c r="G4" s="66">
        <f t="shared" ca="1" si="0"/>
        <v>578387961</v>
      </c>
      <c r="H4" s="66">
        <f t="shared" ref="H4:H7" ca="1" si="1">RANDBETWEEN(100000000000000000,999999999999999000)</f>
        <v>3.7413330408048883E+17</v>
      </c>
      <c r="I4" s="66">
        <f t="shared" ca="1" si="0"/>
        <v>276364354</v>
      </c>
      <c r="J4" s="41" t="s">
        <v>71</v>
      </c>
      <c r="K4" s="22"/>
      <c r="L4" s="22"/>
      <c r="M4" s="22"/>
      <c r="N4" s="22"/>
    </row>
    <row r="5" spans="1:14" s="10" customFormat="1" ht="45">
      <c r="A5" s="23" t="s">
        <v>72</v>
      </c>
      <c r="B5" s="14" t="s">
        <v>67</v>
      </c>
      <c r="C5" s="17">
        <v>43321</v>
      </c>
      <c r="D5" s="15" t="s">
        <v>53</v>
      </c>
      <c r="E5" s="13" t="s">
        <v>52</v>
      </c>
      <c r="F5" s="66">
        <f t="shared" ca="1" si="0"/>
        <v>176295386</v>
      </c>
      <c r="G5" s="66">
        <f t="shared" ca="1" si="0"/>
        <v>467729513</v>
      </c>
      <c r="H5" s="66">
        <f t="shared" ca="1" si="1"/>
        <v>2.0654494532687802E+17</v>
      </c>
      <c r="I5" s="66">
        <f t="shared" ca="1" si="0"/>
        <v>892350482</v>
      </c>
      <c r="J5" s="41" t="s">
        <v>71</v>
      </c>
      <c r="K5" s="16"/>
      <c r="L5" s="16"/>
      <c r="M5" s="16"/>
      <c r="N5" s="16"/>
    </row>
    <row r="6" spans="1:14" s="10" customFormat="1" ht="45">
      <c r="A6" s="23"/>
      <c r="B6" s="14" t="s">
        <v>68</v>
      </c>
      <c r="C6" s="17">
        <v>42411</v>
      </c>
      <c r="D6" s="15" t="s">
        <v>43</v>
      </c>
      <c r="E6" s="13" t="s">
        <v>73</v>
      </c>
      <c r="F6" s="66">
        <f t="shared" ca="1" si="0"/>
        <v>486552724</v>
      </c>
      <c r="G6" s="66">
        <f t="shared" ca="1" si="0"/>
        <v>493420706</v>
      </c>
      <c r="H6" s="66">
        <f t="shared" ca="1" si="1"/>
        <v>3.4263093206915635E+17</v>
      </c>
      <c r="I6" s="66">
        <f t="shared" ca="1" si="0"/>
        <v>113689894</v>
      </c>
      <c r="J6" s="41" t="s">
        <v>71</v>
      </c>
      <c r="K6" s="13"/>
      <c r="L6" s="14"/>
      <c r="M6" s="13"/>
      <c r="N6" s="14"/>
    </row>
    <row r="7" spans="1:14" s="10" customFormat="1">
      <c r="A7" s="23"/>
      <c r="B7" s="14" t="s">
        <v>69</v>
      </c>
      <c r="C7" s="17">
        <v>40461</v>
      </c>
      <c r="D7" s="15" t="s">
        <v>54</v>
      </c>
      <c r="E7" s="13" t="s">
        <v>74</v>
      </c>
      <c r="F7" s="66">
        <f t="shared" ca="1" si="0"/>
        <v>632438689</v>
      </c>
      <c r="G7" s="66">
        <f t="shared" ca="1" si="0"/>
        <v>975773580</v>
      </c>
      <c r="H7" s="66">
        <f t="shared" ca="1" si="1"/>
        <v>4.8148699253969478E+17</v>
      </c>
      <c r="I7" s="66">
        <f t="shared" ca="1" si="0"/>
        <v>912210277</v>
      </c>
      <c r="J7" s="41" t="s">
        <v>71</v>
      </c>
      <c r="K7" s="16"/>
      <c r="L7" s="16"/>
      <c r="M7" s="16"/>
      <c r="N7" s="16"/>
    </row>
    <row r="8" spans="1:14">
      <c r="F8" s="65"/>
    </row>
  </sheetData>
  <dataConsolidate/>
  <mergeCells count="6">
    <mergeCell ref="F1:N1"/>
    <mergeCell ref="D1:D2"/>
    <mergeCell ref="C1:C2"/>
    <mergeCell ref="A1:A2"/>
    <mergeCell ref="E1:E2"/>
    <mergeCell ref="B1:B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7"/>
  <dimension ref="A2:BB42"/>
  <sheetViews>
    <sheetView workbookViewId="0">
      <selection activeCell="A2" sqref="A2:BB2"/>
    </sheetView>
  </sheetViews>
  <sheetFormatPr defaultColWidth="9.140625" defaultRowHeight="15"/>
  <cols>
    <col min="1" max="1" width="3.5703125" style="1" customWidth="1"/>
    <col min="2" max="54" width="1.7109375" style="1" customWidth="1"/>
    <col min="55" max="16384" width="9.140625" style="1"/>
  </cols>
  <sheetData>
    <row r="2" spans="1:54" ht="22.5">
      <c r="A2" s="105" t="s">
        <v>9</v>
      </c>
      <c r="B2" s="105"/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5"/>
      <c r="Q2" s="105"/>
      <c r="R2" s="105"/>
      <c r="S2" s="105"/>
      <c r="T2" s="105"/>
      <c r="U2" s="105"/>
      <c r="V2" s="105"/>
      <c r="W2" s="105"/>
      <c r="X2" s="105"/>
      <c r="Y2" s="105"/>
      <c r="Z2" s="105"/>
      <c r="AA2" s="105"/>
      <c r="AB2" s="105"/>
      <c r="AC2" s="105"/>
      <c r="AD2" s="105"/>
      <c r="AE2" s="105"/>
      <c r="AF2" s="105"/>
      <c r="AG2" s="105"/>
      <c r="AH2" s="105"/>
      <c r="AI2" s="105"/>
      <c r="AJ2" s="105"/>
      <c r="AK2" s="105"/>
      <c r="AL2" s="105"/>
      <c r="AM2" s="105"/>
      <c r="AN2" s="105"/>
      <c r="AO2" s="105"/>
      <c r="AP2" s="105"/>
      <c r="AQ2" s="105"/>
      <c r="AR2" s="105"/>
      <c r="AS2" s="105"/>
      <c r="AT2" s="105"/>
      <c r="AU2" s="105"/>
      <c r="AV2" s="105"/>
      <c r="AW2" s="105"/>
      <c r="AX2" s="105"/>
      <c r="AY2" s="105"/>
      <c r="AZ2" s="105"/>
      <c r="BA2" s="105"/>
      <c r="BB2" s="105"/>
    </row>
    <row r="4" spans="1:54">
      <c r="AA4" s="93" t="s">
        <v>61</v>
      </c>
      <c r="AB4" s="93"/>
      <c r="AC4" s="93"/>
      <c r="AD4" s="93"/>
      <c r="AE4" s="93"/>
      <c r="AF4" s="93"/>
      <c r="AG4" s="93"/>
      <c r="AH4" s="93"/>
      <c r="AI4" s="93"/>
      <c r="AJ4" s="93"/>
      <c r="AK4" s="93"/>
      <c r="AL4" s="93"/>
      <c r="AM4" s="93"/>
      <c r="AN4" s="93"/>
      <c r="AO4" s="93"/>
      <c r="AP4" s="93"/>
      <c r="AQ4" s="93"/>
      <c r="AR4" s="93"/>
      <c r="AS4" s="93"/>
      <c r="AT4" s="93"/>
      <c r="AU4" s="93"/>
      <c r="AV4" s="93"/>
      <c r="AW4" s="93"/>
      <c r="AX4" s="93"/>
      <c r="AY4" s="93"/>
      <c r="AZ4" s="93"/>
      <c r="BA4" s="93"/>
      <c r="BB4" s="93"/>
    </row>
    <row r="5" spans="1:54" ht="18">
      <c r="AA5" s="106" t="s">
        <v>37</v>
      </c>
      <c r="AB5" s="91"/>
      <c r="AC5" s="91"/>
      <c r="AD5" s="91"/>
      <c r="AE5" s="91"/>
      <c r="AF5" s="91"/>
      <c r="AG5" s="91"/>
      <c r="AH5" s="91"/>
      <c r="AI5" s="91"/>
      <c r="AJ5" s="91"/>
      <c r="AK5" s="91"/>
      <c r="AL5" s="91"/>
      <c r="AM5" s="91"/>
      <c r="AN5" s="91"/>
      <c r="AO5" s="91"/>
      <c r="AP5" s="91"/>
      <c r="AQ5" s="91"/>
      <c r="AR5" s="91"/>
      <c r="AS5" s="91"/>
      <c r="AT5" s="91"/>
      <c r="AU5" s="91"/>
      <c r="AV5" s="91"/>
      <c r="AW5" s="91"/>
      <c r="AX5" s="91"/>
      <c r="AY5" s="91"/>
      <c r="AZ5" s="91"/>
      <c r="BA5" s="91"/>
      <c r="BB5" s="91"/>
    </row>
    <row r="7" spans="1:54" ht="15" customHeight="1">
      <c r="A7" s="1">
        <v>1</v>
      </c>
      <c r="B7" s="97" t="s">
        <v>10</v>
      </c>
      <c r="C7" s="97"/>
      <c r="D7" s="97"/>
      <c r="E7" s="97"/>
      <c r="F7" s="97"/>
      <c r="G7" s="97"/>
      <c r="H7" s="97"/>
      <c r="I7" s="97"/>
      <c r="J7" s="97"/>
      <c r="K7" s="97"/>
      <c r="L7" s="97"/>
      <c r="M7" s="97"/>
      <c r="N7" s="97"/>
      <c r="O7" s="97"/>
      <c r="P7" s="97"/>
      <c r="Q7" s="97"/>
      <c r="R7" s="97"/>
      <c r="S7" s="97"/>
      <c r="T7" s="97"/>
      <c r="U7" s="97"/>
      <c r="V7" s="97"/>
      <c r="W7" s="97"/>
      <c r="X7" s="97"/>
      <c r="Y7" s="97"/>
      <c r="Z7" s="97"/>
      <c r="AA7" s="107"/>
      <c r="AB7" s="107"/>
      <c r="AC7" s="107"/>
      <c r="AD7" s="107"/>
      <c r="AE7" s="107"/>
      <c r="AF7" s="107"/>
      <c r="AG7" s="107"/>
      <c r="AH7" s="107"/>
      <c r="AI7" s="107"/>
      <c r="AJ7" s="107"/>
      <c r="AK7" s="107"/>
      <c r="AL7" s="107"/>
      <c r="AM7" s="107"/>
      <c r="AN7" s="107"/>
      <c r="AO7" s="107"/>
      <c r="AP7" s="107"/>
      <c r="AQ7" s="107"/>
      <c r="AR7" s="107"/>
      <c r="AS7" s="107"/>
      <c r="AT7" s="107"/>
      <c r="AU7" s="107"/>
      <c r="AV7" s="107"/>
      <c r="AW7" s="107"/>
      <c r="AX7" s="107"/>
      <c r="AY7" s="107"/>
      <c r="AZ7" s="107"/>
      <c r="BA7" s="107"/>
      <c r="BB7" s="107"/>
    </row>
    <row r="8" spans="1:54" ht="15" customHeight="1">
      <c r="A8" s="1">
        <v>2</v>
      </c>
      <c r="B8" s="97" t="s">
        <v>11</v>
      </c>
      <c r="C8" s="97"/>
      <c r="D8" s="97"/>
      <c r="E8" s="97"/>
      <c r="F8" s="97"/>
      <c r="G8" s="97"/>
      <c r="H8" s="97"/>
      <c r="I8" s="97"/>
      <c r="J8" s="97"/>
      <c r="K8" s="97"/>
      <c r="L8" s="97"/>
      <c r="M8" s="97"/>
      <c r="N8" s="97"/>
      <c r="O8" s="97"/>
      <c r="P8" s="97"/>
      <c r="Q8" s="97"/>
      <c r="R8" s="97"/>
      <c r="S8" s="97"/>
      <c r="T8" s="97"/>
      <c r="U8" s="97"/>
      <c r="V8" s="97"/>
      <c r="W8" s="97"/>
      <c r="X8" s="97"/>
      <c r="Y8" s="97"/>
      <c r="Z8" s="97"/>
      <c r="AA8" s="104"/>
      <c r="AB8" s="104"/>
      <c r="AC8" s="104"/>
      <c r="AD8" s="104"/>
      <c r="AE8" s="104"/>
      <c r="AF8" s="104"/>
      <c r="AG8" s="104"/>
      <c r="AH8" s="104"/>
      <c r="AI8" s="104"/>
      <c r="AJ8" s="104"/>
      <c r="AK8" s="104"/>
      <c r="AL8" s="104"/>
      <c r="AM8" s="104"/>
      <c r="AN8" s="104"/>
      <c r="AO8" s="104"/>
      <c r="AP8" s="104"/>
      <c r="AQ8" s="104"/>
      <c r="AR8" s="104"/>
      <c r="AS8" s="104"/>
      <c r="AT8" s="104"/>
      <c r="AU8" s="104"/>
      <c r="AV8" s="104"/>
      <c r="AW8" s="104"/>
      <c r="AX8" s="104"/>
      <c r="AY8" s="104"/>
      <c r="AZ8" s="104"/>
      <c r="BA8" s="104"/>
      <c r="BB8" s="104"/>
    </row>
    <row r="9" spans="1:54" ht="15" customHeight="1">
      <c r="A9" s="1">
        <v>3</v>
      </c>
      <c r="B9" s="102" t="s">
        <v>12</v>
      </c>
      <c r="C9" s="102"/>
      <c r="D9" s="102"/>
      <c r="E9" s="102"/>
      <c r="F9" s="102"/>
      <c r="G9" s="102"/>
      <c r="H9" s="102"/>
      <c r="I9" s="102"/>
      <c r="J9" s="102"/>
      <c r="K9" s="102"/>
      <c r="L9" s="102"/>
      <c r="M9" s="102"/>
      <c r="N9" s="102"/>
      <c r="O9" s="102"/>
      <c r="P9" s="102"/>
      <c r="Q9" s="102"/>
      <c r="R9" s="102"/>
      <c r="S9" s="102"/>
      <c r="T9" s="102"/>
      <c r="U9" s="102"/>
      <c r="V9" s="102"/>
      <c r="W9" s="102"/>
      <c r="X9" s="102"/>
      <c r="Y9" s="102"/>
      <c r="Z9" s="102"/>
      <c r="AA9" s="103"/>
      <c r="AB9" s="103"/>
      <c r="AC9" s="103"/>
      <c r="AD9" s="103"/>
      <c r="AE9" s="103"/>
      <c r="AF9" s="103"/>
      <c r="AG9" s="103"/>
      <c r="AH9" s="103"/>
      <c r="AI9" s="103"/>
      <c r="AJ9" s="103"/>
      <c r="AK9" s="103"/>
      <c r="AL9" s="103"/>
      <c r="AM9" s="103"/>
      <c r="AN9" s="103"/>
      <c r="AO9" s="103"/>
      <c r="AP9" s="103"/>
      <c r="AQ9" s="103"/>
      <c r="AR9" s="103"/>
      <c r="AS9" s="103"/>
      <c r="AT9" s="103"/>
      <c r="AU9" s="103"/>
      <c r="AV9" s="103"/>
      <c r="AW9" s="103"/>
      <c r="AX9" s="103"/>
      <c r="AY9" s="103"/>
      <c r="AZ9" s="103"/>
      <c r="BA9" s="103"/>
      <c r="BB9" s="103"/>
    </row>
    <row r="10" spans="1:54" ht="15" customHeight="1">
      <c r="A10" s="1">
        <v>4</v>
      </c>
      <c r="B10" s="102" t="s">
        <v>13</v>
      </c>
      <c r="C10" s="102"/>
      <c r="D10" s="102"/>
      <c r="E10" s="102"/>
      <c r="F10" s="102"/>
      <c r="G10" s="102"/>
      <c r="H10" s="102"/>
      <c r="I10" s="102"/>
      <c r="J10" s="102"/>
      <c r="K10" s="102"/>
      <c r="L10" s="102"/>
      <c r="M10" s="102"/>
      <c r="N10" s="102"/>
      <c r="O10" s="102"/>
      <c r="P10" s="102"/>
      <c r="Q10" s="102"/>
      <c r="R10" s="102"/>
      <c r="S10" s="102"/>
      <c r="T10" s="102"/>
      <c r="U10" s="102"/>
      <c r="V10" s="102"/>
      <c r="W10" s="102"/>
      <c r="X10" s="102"/>
      <c r="Y10" s="102"/>
      <c r="Z10" s="102"/>
      <c r="AA10" s="104"/>
      <c r="AB10" s="104"/>
      <c r="AC10" s="104"/>
      <c r="AD10" s="104"/>
      <c r="AE10" s="104"/>
      <c r="AF10" s="104"/>
      <c r="AG10" s="104"/>
      <c r="AH10" s="104"/>
      <c r="AI10" s="104"/>
      <c r="AJ10" s="104"/>
      <c r="AK10" s="104"/>
      <c r="AL10" s="104"/>
      <c r="AM10" s="104"/>
      <c r="AN10" s="104"/>
      <c r="AO10" s="104"/>
      <c r="AP10" s="104"/>
      <c r="AQ10" s="104"/>
      <c r="AR10" s="104"/>
      <c r="AS10" s="104"/>
      <c r="AT10" s="104"/>
      <c r="AU10" s="104"/>
      <c r="AV10" s="104"/>
      <c r="AW10" s="104"/>
      <c r="AX10" s="104"/>
      <c r="AY10" s="104"/>
      <c r="AZ10" s="104"/>
      <c r="BA10" s="104"/>
      <c r="BB10" s="104"/>
    </row>
    <row r="11" spans="1:54" ht="15" customHeight="1">
      <c r="A11" s="1">
        <v>5</v>
      </c>
      <c r="B11" s="102" t="s">
        <v>14</v>
      </c>
      <c r="C11" s="102"/>
      <c r="D11" s="102"/>
      <c r="E11" s="102"/>
      <c r="F11" s="102"/>
      <c r="G11" s="102"/>
      <c r="H11" s="102"/>
      <c r="I11" s="102"/>
      <c r="J11" s="102"/>
      <c r="K11" s="102"/>
      <c r="L11" s="102"/>
      <c r="M11" s="102"/>
      <c r="N11" s="102"/>
      <c r="O11" s="102"/>
      <c r="P11" s="102"/>
      <c r="Q11" s="102"/>
      <c r="R11" s="102"/>
      <c r="S11" s="102"/>
      <c r="T11" s="102"/>
      <c r="U11" s="102"/>
      <c r="V11" s="102"/>
      <c r="W11" s="102"/>
      <c r="X11" s="102"/>
      <c r="Y11" s="102"/>
      <c r="Z11" s="102"/>
      <c r="AA11" s="98"/>
      <c r="AB11" s="98"/>
      <c r="AC11" s="98"/>
      <c r="AD11" s="98"/>
      <c r="AE11" s="98"/>
      <c r="AF11" s="98"/>
      <c r="AG11" s="98"/>
      <c r="AH11" s="98"/>
      <c r="AI11" s="98"/>
      <c r="AJ11" s="98"/>
      <c r="AK11" s="98"/>
      <c r="AL11" s="98"/>
      <c r="AM11" s="98"/>
      <c r="AN11" s="98"/>
      <c r="AO11" s="98"/>
      <c r="AP11" s="98"/>
      <c r="AQ11" s="98"/>
      <c r="AR11" s="98"/>
      <c r="AS11" s="98"/>
      <c r="AT11" s="98"/>
      <c r="AU11" s="98"/>
      <c r="AV11" s="98"/>
      <c r="AW11" s="98"/>
      <c r="AX11" s="98"/>
      <c r="AY11" s="98"/>
      <c r="AZ11" s="98"/>
      <c r="BA11" s="98"/>
      <c r="BB11" s="98"/>
    </row>
    <row r="12" spans="1:54" ht="15" customHeight="1">
      <c r="A12" s="1">
        <v>6</v>
      </c>
      <c r="B12" s="97" t="s">
        <v>15</v>
      </c>
      <c r="C12" s="97"/>
      <c r="D12" s="97"/>
      <c r="E12" s="97"/>
      <c r="F12" s="97"/>
      <c r="G12" s="97"/>
      <c r="H12" s="97"/>
      <c r="I12" s="97"/>
      <c r="J12" s="97"/>
      <c r="K12" s="97"/>
      <c r="L12" s="97"/>
      <c r="M12" s="97"/>
      <c r="N12" s="97"/>
      <c r="O12" s="97"/>
      <c r="P12" s="97"/>
      <c r="Q12" s="97"/>
      <c r="R12" s="97"/>
      <c r="S12" s="97"/>
      <c r="T12" s="97"/>
      <c r="U12" s="97"/>
      <c r="V12" s="97"/>
      <c r="W12" s="97"/>
      <c r="X12" s="97"/>
      <c r="Y12" s="97"/>
      <c r="Z12" s="97"/>
      <c r="AA12" s="98"/>
      <c r="AB12" s="98"/>
      <c r="AC12" s="98"/>
      <c r="AD12" s="98"/>
      <c r="AE12" s="98"/>
      <c r="AF12" s="98"/>
      <c r="AG12" s="98"/>
      <c r="AH12" s="98"/>
      <c r="AI12" s="98"/>
      <c r="AJ12" s="98"/>
      <c r="AK12" s="98"/>
      <c r="AL12" s="98"/>
      <c r="AM12" s="98"/>
      <c r="AN12" s="98"/>
      <c r="AO12" s="98"/>
      <c r="AP12" s="98"/>
      <c r="AQ12" s="98"/>
      <c r="AR12" s="98"/>
      <c r="AS12" s="98"/>
      <c r="AT12" s="98"/>
      <c r="AU12" s="98"/>
      <c r="AV12" s="98"/>
      <c r="AW12" s="98"/>
      <c r="AX12" s="98"/>
      <c r="AY12" s="98"/>
      <c r="AZ12" s="98"/>
      <c r="BA12" s="98"/>
      <c r="BB12" s="98"/>
    </row>
    <row r="13" spans="1:54" ht="27.6" customHeight="1">
      <c r="A13" s="1">
        <v>7</v>
      </c>
      <c r="B13" s="97" t="s">
        <v>16</v>
      </c>
      <c r="C13" s="97"/>
      <c r="D13" s="97"/>
      <c r="E13" s="97"/>
      <c r="F13" s="97"/>
      <c r="G13" s="97"/>
      <c r="H13" s="97"/>
      <c r="I13" s="97"/>
      <c r="J13" s="97"/>
      <c r="K13" s="97"/>
      <c r="L13" s="97"/>
      <c r="M13" s="97"/>
      <c r="N13" s="97"/>
      <c r="O13" s="97"/>
      <c r="P13" s="97"/>
      <c r="Q13" s="97"/>
      <c r="R13" s="97"/>
      <c r="S13" s="97"/>
      <c r="T13" s="97"/>
      <c r="U13" s="97"/>
      <c r="V13" s="97"/>
      <c r="W13" s="97"/>
      <c r="X13" s="97"/>
      <c r="Y13" s="97"/>
      <c r="Z13" s="97"/>
      <c r="AA13" s="98"/>
      <c r="AB13" s="98"/>
      <c r="AC13" s="98"/>
      <c r="AD13" s="98"/>
      <c r="AE13" s="98"/>
      <c r="AF13" s="98"/>
      <c r="AG13" s="98"/>
      <c r="AH13" s="98"/>
      <c r="AI13" s="98"/>
      <c r="AJ13" s="98"/>
      <c r="AK13" s="98"/>
      <c r="AL13" s="98"/>
      <c r="AM13" s="98"/>
      <c r="AN13" s="98"/>
      <c r="AO13" s="98"/>
      <c r="AP13" s="98"/>
      <c r="AQ13" s="98"/>
      <c r="AR13" s="98"/>
      <c r="AS13" s="98"/>
      <c r="AT13" s="98"/>
      <c r="AU13" s="98"/>
      <c r="AV13" s="98"/>
      <c r="AW13" s="98"/>
      <c r="AX13" s="98"/>
      <c r="AY13" s="98"/>
      <c r="AZ13" s="98"/>
      <c r="BA13" s="98"/>
      <c r="BB13" s="98"/>
    </row>
    <row r="14" spans="1:54" ht="15" customHeight="1">
      <c r="A14" s="1">
        <v>8</v>
      </c>
      <c r="B14" s="101" t="s">
        <v>17</v>
      </c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1"/>
      <c r="O14" s="101"/>
      <c r="P14" s="101"/>
      <c r="Q14" s="101"/>
      <c r="R14" s="101"/>
      <c r="S14" s="101"/>
      <c r="T14" s="101"/>
      <c r="U14" s="101"/>
      <c r="V14" s="101"/>
      <c r="W14" s="101"/>
      <c r="X14" s="101"/>
      <c r="Y14" s="101"/>
      <c r="Z14" s="101"/>
      <c r="AA14" s="98"/>
      <c r="AB14" s="98"/>
      <c r="AC14" s="98"/>
      <c r="AD14" s="98"/>
      <c r="AE14" s="98"/>
      <c r="AF14" s="98"/>
      <c r="AG14" s="98"/>
      <c r="AH14" s="98"/>
      <c r="AI14" s="98"/>
      <c r="AJ14" s="98"/>
      <c r="AK14" s="98"/>
      <c r="AL14" s="98"/>
      <c r="AM14" s="98"/>
      <c r="AN14" s="98"/>
      <c r="AO14" s="98"/>
      <c r="AP14" s="98"/>
      <c r="AQ14" s="98"/>
      <c r="AR14" s="98"/>
      <c r="AS14" s="98"/>
      <c r="AT14" s="98"/>
      <c r="AU14" s="98"/>
      <c r="AV14" s="98"/>
      <c r="AW14" s="98"/>
      <c r="AX14" s="98"/>
      <c r="AY14" s="98"/>
      <c r="AZ14" s="98"/>
      <c r="BA14" s="98"/>
      <c r="BB14" s="98"/>
    </row>
    <row r="15" spans="1:54" ht="15" customHeight="1">
      <c r="A15" s="1">
        <v>9</v>
      </c>
      <c r="B15" s="97" t="s">
        <v>18</v>
      </c>
      <c r="C15" s="97"/>
      <c r="D15" s="97"/>
      <c r="E15" s="97"/>
      <c r="F15" s="97"/>
      <c r="G15" s="97"/>
      <c r="H15" s="97"/>
      <c r="I15" s="97"/>
      <c r="J15" s="97"/>
      <c r="K15" s="97"/>
      <c r="L15" s="97"/>
      <c r="M15" s="97"/>
      <c r="N15" s="97"/>
      <c r="O15" s="97"/>
      <c r="P15" s="97"/>
      <c r="Q15" s="97"/>
      <c r="R15" s="97"/>
      <c r="S15" s="97"/>
      <c r="T15" s="97"/>
      <c r="U15" s="97"/>
      <c r="V15" s="97"/>
      <c r="W15" s="97"/>
      <c r="X15" s="97"/>
      <c r="Y15" s="97"/>
      <c r="Z15" s="97"/>
      <c r="AA15" s="98"/>
      <c r="AB15" s="98"/>
      <c r="AC15" s="98"/>
      <c r="AD15" s="98"/>
      <c r="AE15" s="98"/>
      <c r="AF15" s="98"/>
      <c r="AG15" s="98"/>
      <c r="AH15" s="98"/>
      <c r="AI15" s="98"/>
      <c r="AJ15" s="98"/>
      <c r="AK15" s="98"/>
      <c r="AL15" s="98"/>
      <c r="AM15" s="98"/>
      <c r="AN15" s="98"/>
      <c r="AO15" s="98"/>
      <c r="AP15" s="98"/>
      <c r="AQ15" s="98"/>
      <c r="AR15" s="98"/>
      <c r="AS15" s="98"/>
      <c r="AT15" s="98"/>
      <c r="AU15" s="98"/>
      <c r="AV15" s="98"/>
      <c r="AW15" s="98"/>
      <c r="AX15" s="98"/>
      <c r="AY15" s="98"/>
      <c r="AZ15" s="98"/>
      <c r="BA15" s="98"/>
      <c r="BB15" s="98"/>
    </row>
    <row r="16" spans="1:54" ht="15" customHeight="1">
      <c r="A16" s="1">
        <v>10</v>
      </c>
      <c r="B16" s="97" t="s">
        <v>19</v>
      </c>
      <c r="C16" s="97"/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7"/>
      <c r="X16" s="97"/>
      <c r="Y16" s="97"/>
      <c r="Z16" s="97"/>
      <c r="AA16" s="98"/>
      <c r="AB16" s="98"/>
      <c r="AC16" s="98"/>
      <c r="AD16" s="98"/>
      <c r="AE16" s="98"/>
      <c r="AF16" s="98"/>
      <c r="AG16" s="98"/>
      <c r="AH16" s="98"/>
      <c r="AI16" s="98"/>
      <c r="AJ16" s="98"/>
      <c r="AK16" s="98"/>
      <c r="AL16" s="98"/>
      <c r="AM16" s="98"/>
      <c r="AN16" s="98"/>
      <c r="AO16" s="98"/>
      <c r="AP16" s="98"/>
      <c r="AQ16" s="98"/>
      <c r="AR16" s="98"/>
      <c r="AS16" s="98"/>
      <c r="AT16" s="98"/>
      <c r="AU16" s="98"/>
      <c r="AV16" s="98"/>
      <c r="AW16" s="98"/>
      <c r="AX16" s="98"/>
      <c r="AY16" s="98"/>
      <c r="AZ16" s="98"/>
      <c r="BA16" s="98"/>
      <c r="BB16" s="98"/>
    </row>
    <row r="17" spans="1:54" ht="15" customHeight="1">
      <c r="A17" s="1">
        <v>11</v>
      </c>
      <c r="B17" s="97" t="s">
        <v>20</v>
      </c>
      <c r="C17" s="97"/>
      <c r="D17" s="97"/>
      <c r="E17" s="97"/>
      <c r="F17" s="97"/>
      <c r="G17" s="97"/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97"/>
      <c r="T17" s="97"/>
      <c r="U17" s="97"/>
      <c r="V17" s="97"/>
      <c r="W17" s="97"/>
      <c r="X17" s="97"/>
      <c r="Y17" s="97"/>
      <c r="Z17" s="97"/>
      <c r="AA17" s="98"/>
      <c r="AB17" s="98"/>
      <c r="AC17" s="98"/>
      <c r="AD17" s="98"/>
      <c r="AE17" s="98"/>
      <c r="AF17" s="98"/>
      <c r="AG17" s="98"/>
      <c r="AH17" s="98"/>
      <c r="AI17" s="98"/>
      <c r="AJ17" s="98"/>
      <c r="AK17" s="98"/>
      <c r="AL17" s="98"/>
      <c r="AM17" s="98"/>
      <c r="AN17" s="98"/>
      <c r="AO17" s="98"/>
      <c r="AP17" s="98"/>
      <c r="AQ17" s="98"/>
      <c r="AR17" s="98"/>
      <c r="AS17" s="98"/>
      <c r="AT17" s="98"/>
      <c r="AU17" s="98"/>
      <c r="AV17" s="98"/>
      <c r="AW17" s="98"/>
      <c r="AX17" s="98"/>
      <c r="AY17" s="98"/>
      <c r="AZ17" s="98"/>
      <c r="BA17" s="98"/>
      <c r="BB17" s="98"/>
    </row>
    <row r="18" spans="1:54" ht="15" customHeight="1">
      <c r="A18" s="1">
        <v>12</v>
      </c>
      <c r="B18" s="99" t="s">
        <v>21</v>
      </c>
      <c r="C18" s="99"/>
      <c r="D18" s="99"/>
      <c r="E18" s="99"/>
      <c r="F18" s="99"/>
      <c r="G18" s="99"/>
      <c r="H18" s="99"/>
      <c r="I18" s="99"/>
      <c r="J18" s="99"/>
      <c r="K18" s="99"/>
      <c r="L18" s="99"/>
      <c r="M18" s="99"/>
      <c r="N18" s="99"/>
      <c r="O18" s="99"/>
      <c r="P18" s="99"/>
      <c r="Q18" s="99"/>
      <c r="R18" s="99"/>
      <c r="S18" s="99"/>
      <c r="T18" s="99"/>
      <c r="U18" s="99"/>
      <c r="V18" s="99"/>
      <c r="W18" s="99"/>
      <c r="X18" s="99"/>
      <c r="Y18" s="99"/>
      <c r="Z18" s="99"/>
      <c r="AA18" s="100"/>
      <c r="AB18" s="100"/>
      <c r="AC18" s="100"/>
      <c r="AD18" s="100"/>
      <c r="AE18" s="100"/>
      <c r="AF18" s="100"/>
      <c r="AG18" s="100"/>
      <c r="AH18" s="100"/>
      <c r="AI18" s="100"/>
      <c r="AJ18" s="100"/>
      <c r="AK18" s="100"/>
      <c r="AL18" s="100"/>
      <c r="AM18" s="100"/>
      <c r="AN18" s="100"/>
      <c r="AO18" s="100"/>
      <c r="AP18" s="100"/>
      <c r="AQ18" s="100"/>
      <c r="AR18" s="100"/>
      <c r="AS18" s="100"/>
      <c r="AT18" s="100"/>
      <c r="AU18" s="100"/>
      <c r="AV18" s="100"/>
      <c r="AW18" s="100"/>
      <c r="AX18" s="100"/>
      <c r="AY18" s="100"/>
      <c r="AZ18" s="100"/>
      <c r="BA18" s="100"/>
      <c r="BB18" s="100"/>
    </row>
    <row r="19" spans="1:54" ht="15" customHeight="1">
      <c r="B19" s="95" t="s">
        <v>22</v>
      </c>
      <c r="C19" s="95"/>
      <c r="D19" s="95"/>
      <c r="E19" s="95"/>
      <c r="F19" s="95"/>
      <c r="G19" s="95"/>
      <c r="H19" s="95"/>
      <c r="I19" s="95"/>
      <c r="J19" s="95"/>
      <c r="K19" s="95"/>
      <c r="L19" s="95"/>
      <c r="M19" s="95"/>
      <c r="N19" s="95"/>
      <c r="O19" s="95"/>
      <c r="P19" s="95"/>
      <c r="Q19" s="95"/>
      <c r="R19" s="95"/>
      <c r="S19" s="95"/>
      <c r="T19" s="95"/>
      <c r="U19" s="95"/>
      <c r="V19" s="95"/>
      <c r="W19" s="95"/>
      <c r="X19" s="95"/>
      <c r="Y19" s="95"/>
      <c r="Z19" s="95"/>
      <c r="AA19" s="96"/>
      <c r="AB19" s="96"/>
      <c r="AC19" s="96"/>
      <c r="AD19" s="96"/>
      <c r="AE19" s="96"/>
      <c r="AF19" s="96"/>
      <c r="AG19" s="96"/>
      <c r="AH19" s="96"/>
      <c r="AI19" s="96"/>
      <c r="AJ19" s="96"/>
      <c r="AK19" s="96"/>
      <c r="AL19" s="96"/>
      <c r="AM19" s="96"/>
      <c r="AN19" s="96"/>
      <c r="AO19" s="96"/>
      <c r="AP19" s="96"/>
      <c r="AQ19" s="96"/>
      <c r="AR19" s="96"/>
      <c r="AS19" s="96"/>
      <c r="AT19" s="96"/>
      <c r="AU19" s="96"/>
      <c r="AV19" s="96"/>
      <c r="AW19" s="96"/>
      <c r="AX19" s="96"/>
      <c r="AY19" s="96"/>
      <c r="AZ19" s="96"/>
      <c r="BA19" s="96"/>
      <c r="BB19" s="96"/>
    </row>
    <row r="20" spans="1:54" ht="15" customHeight="1">
      <c r="B20" s="95" t="s">
        <v>23</v>
      </c>
      <c r="C20" s="95"/>
      <c r="D20" s="95"/>
      <c r="E20" s="95"/>
      <c r="F20" s="95"/>
      <c r="G20" s="95"/>
      <c r="H20" s="95"/>
      <c r="I20" s="95"/>
      <c r="J20" s="95"/>
      <c r="K20" s="95"/>
      <c r="L20" s="95"/>
      <c r="M20" s="95"/>
      <c r="N20" s="95"/>
      <c r="O20" s="95"/>
      <c r="P20" s="95"/>
      <c r="Q20" s="95"/>
      <c r="R20" s="95"/>
      <c r="S20" s="95"/>
      <c r="T20" s="95"/>
      <c r="U20" s="95"/>
      <c r="V20" s="95"/>
      <c r="W20" s="95"/>
      <c r="X20" s="95"/>
      <c r="Y20" s="95"/>
      <c r="Z20" s="95"/>
      <c r="AA20" s="96"/>
      <c r="AB20" s="96"/>
      <c r="AC20" s="96"/>
      <c r="AD20" s="96"/>
      <c r="AE20" s="96"/>
      <c r="AF20" s="96"/>
      <c r="AG20" s="96"/>
      <c r="AH20" s="96"/>
      <c r="AI20" s="96"/>
      <c r="AJ20" s="96"/>
      <c r="AK20" s="96"/>
      <c r="AL20" s="96"/>
      <c r="AM20" s="96"/>
      <c r="AN20" s="96"/>
      <c r="AO20" s="96"/>
      <c r="AP20" s="96"/>
      <c r="AQ20" s="96"/>
      <c r="AR20" s="96"/>
      <c r="AS20" s="96"/>
      <c r="AT20" s="96"/>
      <c r="AU20" s="96"/>
      <c r="AV20" s="96"/>
      <c r="AW20" s="96"/>
      <c r="AX20" s="96"/>
      <c r="AY20" s="96"/>
      <c r="AZ20" s="96"/>
      <c r="BA20" s="96"/>
      <c r="BB20" s="96"/>
    </row>
    <row r="21" spans="1:54" ht="15" customHeight="1">
      <c r="B21" s="95" t="s">
        <v>24</v>
      </c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  <c r="R21" s="95"/>
      <c r="S21" s="95"/>
      <c r="T21" s="95"/>
      <c r="U21" s="95"/>
      <c r="V21" s="95"/>
      <c r="W21" s="95"/>
      <c r="X21" s="95"/>
      <c r="Y21" s="95"/>
      <c r="Z21" s="95"/>
      <c r="AA21" s="96"/>
      <c r="AB21" s="96"/>
      <c r="AC21" s="96"/>
      <c r="AD21" s="96"/>
      <c r="AE21" s="96"/>
      <c r="AF21" s="96"/>
      <c r="AG21" s="96"/>
      <c r="AH21" s="96"/>
      <c r="AI21" s="96"/>
      <c r="AJ21" s="96"/>
      <c r="AK21" s="96"/>
      <c r="AL21" s="96"/>
      <c r="AM21" s="96"/>
      <c r="AN21" s="96"/>
      <c r="AO21" s="96"/>
      <c r="AP21" s="96"/>
      <c r="AQ21" s="96"/>
      <c r="AR21" s="96"/>
      <c r="AS21" s="96"/>
      <c r="AT21" s="96"/>
      <c r="AU21" s="96"/>
      <c r="AV21" s="96"/>
      <c r="AW21" s="96"/>
      <c r="AX21" s="96"/>
      <c r="AY21" s="96"/>
      <c r="AZ21" s="96"/>
      <c r="BA21" s="96"/>
      <c r="BB21" s="96"/>
    </row>
    <row r="22" spans="1:54" ht="15" customHeight="1">
      <c r="B22" s="95" t="s">
        <v>25</v>
      </c>
      <c r="C22" s="95"/>
      <c r="D22" s="95"/>
      <c r="E22" s="95"/>
      <c r="F22" s="95"/>
      <c r="G22" s="95"/>
      <c r="H22" s="95"/>
      <c r="I22" s="95"/>
      <c r="J22" s="95"/>
      <c r="K22" s="95"/>
      <c r="L22" s="95"/>
      <c r="M22" s="95"/>
      <c r="N22" s="95"/>
      <c r="O22" s="95"/>
      <c r="P22" s="95"/>
      <c r="Q22" s="95"/>
      <c r="R22" s="95"/>
      <c r="S22" s="95"/>
      <c r="T22" s="95"/>
      <c r="U22" s="95"/>
      <c r="V22" s="95"/>
      <c r="W22" s="95"/>
      <c r="X22" s="95"/>
      <c r="Y22" s="95"/>
      <c r="Z22" s="95"/>
      <c r="AA22" s="96"/>
      <c r="AB22" s="96"/>
      <c r="AC22" s="96"/>
      <c r="AD22" s="96"/>
      <c r="AE22" s="96"/>
      <c r="AF22" s="96"/>
      <c r="AG22" s="96"/>
      <c r="AH22" s="96"/>
      <c r="AI22" s="96"/>
      <c r="AJ22" s="96"/>
      <c r="AK22" s="96"/>
      <c r="AL22" s="96"/>
      <c r="AM22" s="96"/>
      <c r="AN22" s="96"/>
      <c r="AO22" s="96"/>
      <c r="AP22" s="96"/>
      <c r="AQ22" s="96"/>
      <c r="AR22" s="96"/>
      <c r="AS22" s="96"/>
      <c r="AT22" s="96"/>
      <c r="AU22" s="96"/>
      <c r="AV22" s="96"/>
      <c r="AW22" s="96"/>
      <c r="AX22" s="96"/>
      <c r="AY22" s="96"/>
      <c r="AZ22" s="96"/>
      <c r="BA22" s="96"/>
      <c r="BB22" s="96"/>
    </row>
    <row r="23" spans="1:54" ht="15" customHeight="1">
      <c r="B23" s="95" t="s">
        <v>26</v>
      </c>
      <c r="C23" s="95"/>
      <c r="D23" s="95"/>
      <c r="E23" s="95"/>
      <c r="F23" s="95"/>
      <c r="G23" s="95"/>
      <c r="H23" s="95"/>
      <c r="I23" s="95"/>
      <c r="J23" s="95"/>
      <c r="K23" s="95"/>
      <c r="L23" s="95"/>
      <c r="M23" s="95"/>
      <c r="N23" s="95"/>
      <c r="O23" s="95"/>
      <c r="P23" s="95"/>
      <c r="Q23" s="95"/>
      <c r="R23" s="95"/>
      <c r="S23" s="95"/>
      <c r="T23" s="95"/>
      <c r="U23" s="95"/>
      <c r="V23" s="95"/>
      <c r="W23" s="95"/>
      <c r="X23" s="95"/>
      <c r="Y23" s="95"/>
      <c r="Z23" s="95"/>
      <c r="AA23" s="96"/>
      <c r="AB23" s="96"/>
      <c r="AC23" s="96"/>
      <c r="AD23" s="96"/>
      <c r="AE23" s="96"/>
      <c r="AF23" s="96"/>
      <c r="AG23" s="96"/>
      <c r="AH23" s="96"/>
      <c r="AI23" s="96"/>
      <c r="AJ23" s="96"/>
      <c r="AK23" s="96"/>
      <c r="AL23" s="96"/>
      <c r="AM23" s="96"/>
      <c r="AN23" s="96"/>
      <c r="AO23" s="96"/>
      <c r="AP23" s="96"/>
      <c r="AQ23" s="96"/>
      <c r="AR23" s="96"/>
      <c r="AS23" s="96"/>
      <c r="AT23" s="96"/>
      <c r="AU23" s="96"/>
      <c r="AV23" s="96"/>
      <c r="AW23" s="96"/>
      <c r="AX23" s="96"/>
      <c r="AY23" s="96"/>
      <c r="AZ23" s="96"/>
      <c r="BA23" s="96"/>
      <c r="BB23" s="96"/>
    </row>
    <row r="24" spans="1:54" ht="15" customHeight="1">
      <c r="B24" s="95" t="s">
        <v>27</v>
      </c>
      <c r="C24" s="95"/>
      <c r="D24" s="95"/>
      <c r="E24" s="95"/>
      <c r="F24" s="95"/>
      <c r="G24" s="95"/>
      <c r="H24" s="95"/>
      <c r="I24" s="95"/>
      <c r="J24" s="95"/>
      <c r="K24" s="95"/>
      <c r="L24" s="95"/>
      <c r="M24" s="95"/>
      <c r="N24" s="95"/>
      <c r="O24" s="95"/>
      <c r="P24" s="95"/>
      <c r="Q24" s="95"/>
      <c r="R24" s="95"/>
      <c r="S24" s="95"/>
      <c r="T24" s="95"/>
      <c r="U24" s="95"/>
      <c r="V24" s="95"/>
      <c r="W24" s="95"/>
      <c r="X24" s="95"/>
      <c r="Y24" s="95"/>
      <c r="Z24" s="95"/>
      <c r="AA24" s="96"/>
      <c r="AB24" s="96"/>
      <c r="AC24" s="96"/>
      <c r="AD24" s="96"/>
      <c r="AE24" s="96"/>
      <c r="AF24" s="96"/>
      <c r="AG24" s="96"/>
      <c r="AH24" s="96"/>
      <c r="AI24" s="96"/>
      <c r="AJ24" s="96"/>
      <c r="AK24" s="96"/>
      <c r="AL24" s="96"/>
      <c r="AM24" s="96"/>
      <c r="AN24" s="96"/>
      <c r="AO24" s="96"/>
      <c r="AP24" s="96"/>
      <c r="AQ24" s="96"/>
      <c r="AR24" s="96"/>
      <c r="AS24" s="96"/>
      <c r="AT24" s="96"/>
      <c r="AU24" s="96"/>
      <c r="AV24" s="96"/>
      <c r="AW24" s="96"/>
      <c r="AX24" s="96"/>
      <c r="AY24" s="96"/>
      <c r="AZ24" s="96"/>
      <c r="BA24" s="96"/>
      <c r="BB24" s="96"/>
    </row>
    <row r="25" spans="1:54" ht="15" customHeight="1">
      <c r="B25" s="95" t="s">
        <v>28</v>
      </c>
      <c r="C25" s="95"/>
      <c r="D25" s="95"/>
      <c r="E25" s="95"/>
      <c r="F25" s="95"/>
      <c r="G25" s="95"/>
      <c r="H25" s="95"/>
      <c r="I25" s="95"/>
      <c r="J25" s="95"/>
      <c r="K25" s="95"/>
      <c r="L25" s="95"/>
      <c r="M25" s="95"/>
      <c r="N25" s="95"/>
      <c r="O25" s="95"/>
      <c r="P25" s="95"/>
      <c r="Q25" s="95"/>
      <c r="R25" s="95"/>
      <c r="S25" s="95"/>
      <c r="T25" s="95"/>
      <c r="U25" s="95"/>
      <c r="V25" s="95"/>
      <c r="W25" s="95"/>
      <c r="X25" s="95"/>
      <c r="Y25" s="95"/>
      <c r="Z25" s="95"/>
      <c r="AA25" s="96"/>
      <c r="AB25" s="96"/>
      <c r="AC25" s="96"/>
      <c r="AD25" s="96"/>
      <c r="AE25" s="96"/>
      <c r="AF25" s="96"/>
      <c r="AG25" s="96"/>
      <c r="AH25" s="96"/>
      <c r="AI25" s="96"/>
      <c r="AJ25" s="96"/>
      <c r="AK25" s="96"/>
      <c r="AL25" s="96"/>
      <c r="AM25" s="96"/>
      <c r="AN25" s="96"/>
      <c r="AO25" s="96"/>
      <c r="AP25" s="96"/>
      <c r="AQ25" s="96"/>
      <c r="AR25" s="96"/>
      <c r="AS25" s="96"/>
      <c r="AT25" s="96"/>
      <c r="AU25" s="96"/>
      <c r="AV25" s="96"/>
      <c r="AW25" s="96"/>
      <c r="AX25" s="96"/>
      <c r="AY25" s="96"/>
      <c r="AZ25" s="96"/>
      <c r="BA25" s="96"/>
      <c r="BB25" s="96"/>
    </row>
    <row r="26" spans="1:54" ht="15" customHeight="1">
      <c r="B26" s="95" t="s">
        <v>29</v>
      </c>
      <c r="C26" s="95"/>
      <c r="D26" s="95"/>
      <c r="E26" s="95"/>
      <c r="F26" s="95"/>
      <c r="G26" s="95"/>
      <c r="H26" s="95"/>
      <c r="I26" s="95"/>
      <c r="J26" s="95"/>
      <c r="K26" s="95"/>
      <c r="L26" s="95"/>
      <c r="M26" s="95"/>
      <c r="N26" s="95"/>
      <c r="O26" s="95"/>
      <c r="P26" s="95"/>
      <c r="Q26" s="95"/>
      <c r="R26" s="95"/>
      <c r="S26" s="95"/>
      <c r="T26" s="95"/>
      <c r="U26" s="95"/>
      <c r="V26" s="95"/>
      <c r="W26" s="95"/>
      <c r="X26" s="95"/>
      <c r="Y26" s="95"/>
      <c r="Z26" s="95"/>
      <c r="AA26" s="96"/>
      <c r="AB26" s="96"/>
      <c r="AC26" s="96"/>
      <c r="AD26" s="96"/>
      <c r="AE26" s="96"/>
      <c r="AF26" s="96"/>
      <c r="AG26" s="96"/>
      <c r="AH26" s="96"/>
      <c r="AI26" s="96"/>
      <c r="AJ26" s="96"/>
      <c r="AK26" s="96"/>
      <c r="AL26" s="96"/>
      <c r="AM26" s="96"/>
      <c r="AN26" s="96"/>
      <c r="AO26" s="96"/>
      <c r="AP26" s="96"/>
      <c r="AQ26" s="96"/>
      <c r="AR26" s="96"/>
      <c r="AS26" s="96"/>
      <c r="AT26" s="96"/>
      <c r="AU26" s="96"/>
      <c r="AV26" s="96"/>
      <c r="AW26" s="96"/>
      <c r="AX26" s="96"/>
      <c r="AY26" s="96"/>
      <c r="AZ26" s="96"/>
      <c r="BA26" s="96"/>
      <c r="BB26" s="96"/>
    </row>
    <row r="27" spans="1:54" ht="15" customHeight="1">
      <c r="B27" s="95" t="s">
        <v>30</v>
      </c>
      <c r="C27" s="95"/>
      <c r="D27" s="95"/>
      <c r="E27" s="95"/>
      <c r="F27" s="95"/>
      <c r="G27" s="95"/>
      <c r="H27" s="95"/>
      <c r="I27" s="95"/>
      <c r="J27" s="95"/>
      <c r="K27" s="95"/>
      <c r="L27" s="95"/>
      <c r="M27" s="95"/>
      <c r="N27" s="95"/>
      <c r="O27" s="95"/>
      <c r="P27" s="95"/>
      <c r="Q27" s="95"/>
      <c r="R27" s="95"/>
      <c r="S27" s="95"/>
      <c r="T27" s="95"/>
      <c r="U27" s="95"/>
      <c r="V27" s="95"/>
      <c r="W27" s="95"/>
      <c r="X27" s="95"/>
      <c r="Y27" s="95"/>
      <c r="Z27" s="95"/>
      <c r="AA27" s="96"/>
      <c r="AB27" s="96"/>
      <c r="AC27" s="96"/>
      <c r="AD27" s="96"/>
      <c r="AE27" s="96"/>
      <c r="AF27" s="96"/>
      <c r="AG27" s="96"/>
      <c r="AH27" s="96"/>
      <c r="AI27" s="96"/>
      <c r="AJ27" s="96"/>
      <c r="AK27" s="96"/>
      <c r="AL27" s="96"/>
      <c r="AM27" s="96"/>
      <c r="AN27" s="96"/>
      <c r="AO27" s="96"/>
      <c r="AP27" s="96"/>
      <c r="AQ27" s="96"/>
      <c r="AR27" s="96"/>
      <c r="AS27" s="96"/>
      <c r="AT27" s="96"/>
      <c r="AU27" s="96"/>
      <c r="AV27" s="96"/>
      <c r="AW27" s="96"/>
      <c r="AX27" s="96"/>
      <c r="AY27" s="96"/>
      <c r="AZ27" s="96"/>
      <c r="BA27" s="96"/>
      <c r="BB27" s="96"/>
    </row>
    <row r="28" spans="1:54" ht="15" customHeight="1">
      <c r="A28" s="1">
        <v>13</v>
      </c>
      <c r="B28" s="97" t="s">
        <v>31</v>
      </c>
      <c r="C28" s="97"/>
      <c r="D28" s="97"/>
      <c r="E28" s="97"/>
      <c r="F28" s="97"/>
      <c r="G28" s="97"/>
      <c r="H28" s="97"/>
      <c r="I28" s="97"/>
      <c r="J28" s="97"/>
      <c r="K28" s="97"/>
      <c r="L28" s="97"/>
      <c r="M28" s="97"/>
      <c r="N28" s="97"/>
      <c r="O28" s="97"/>
      <c r="P28" s="97"/>
      <c r="Q28" s="97"/>
      <c r="R28" s="97"/>
      <c r="S28" s="97"/>
      <c r="T28" s="97"/>
      <c r="U28" s="97"/>
      <c r="V28" s="97"/>
      <c r="W28" s="97"/>
      <c r="X28" s="97"/>
      <c r="Y28" s="97"/>
      <c r="Z28" s="97"/>
      <c r="AA28" s="98"/>
      <c r="AB28" s="98"/>
      <c r="AC28" s="98"/>
      <c r="AD28" s="98"/>
      <c r="AE28" s="98"/>
      <c r="AF28" s="98"/>
      <c r="AG28" s="98"/>
      <c r="AH28" s="98"/>
      <c r="AI28" s="98"/>
      <c r="AJ28" s="98"/>
      <c r="AK28" s="98"/>
      <c r="AL28" s="98"/>
      <c r="AM28" s="98"/>
      <c r="AN28" s="98"/>
      <c r="AO28" s="98"/>
      <c r="AP28" s="98"/>
      <c r="AQ28" s="98"/>
      <c r="AR28" s="98"/>
      <c r="AS28" s="98"/>
      <c r="AT28" s="98"/>
      <c r="AU28" s="98"/>
      <c r="AV28" s="98"/>
      <c r="AW28" s="98"/>
      <c r="AX28" s="98"/>
      <c r="AY28" s="98"/>
      <c r="AZ28" s="98"/>
      <c r="BA28" s="98"/>
      <c r="BB28" s="98"/>
    </row>
    <row r="31" spans="1:54">
      <c r="A31" s="92" t="s">
        <v>56</v>
      </c>
      <c r="B31" s="92"/>
      <c r="C31" s="92"/>
      <c r="D31" s="92"/>
      <c r="E31" s="92"/>
      <c r="F31" s="92"/>
      <c r="G31" s="92"/>
      <c r="H31" s="92"/>
      <c r="I31" s="92"/>
      <c r="J31" s="92"/>
      <c r="K31" s="92"/>
      <c r="L31" s="92"/>
      <c r="M31" s="92"/>
      <c r="N31" s="92"/>
      <c r="O31" s="92"/>
      <c r="P31" s="92"/>
      <c r="Q31" s="92"/>
      <c r="R31" s="92"/>
      <c r="V31" s="93"/>
      <c r="W31" s="93"/>
      <c r="X31" s="93"/>
      <c r="Y31" s="93"/>
      <c r="Z31" s="93"/>
      <c r="AA31" s="93"/>
      <c r="AB31" s="93"/>
      <c r="AC31" s="93"/>
      <c r="AD31" s="93"/>
      <c r="AE31" s="93"/>
      <c r="AF31" s="93"/>
      <c r="AG31" s="93"/>
      <c r="AH31" s="93"/>
      <c r="AI31" s="93"/>
      <c r="AM31" s="91" t="s">
        <v>58</v>
      </c>
      <c r="AN31" s="91"/>
      <c r="AO31" s="91"/>
      <c r="AP31" s="91"/>
      <c r="AQ31" s="91"/>
      <c r="AR31" s="91"/>
      <c r="AS31" s="91"/>
      <c r="AT31" s="91"/>
      <c r="AU31" s="91"/>
      <c r="AV31" s="91"/>
      <c r="AW31" s="91"/>
      <c r="AX31" s="91"/>
      <c r="AY31" s="91"/>
      <c r="AZ31" s="91"/>
      <c r="BA31" s="91"/>
      <c r="BB31" s="91"/>
    </row>
    <row r="32" spans="1:54" ht="18">
      <c r="A32" s="88" t="s">
        <v>33</v>
      </c>
      <c r="B32" s="88"/>
      <c r="C32" s="88"/>
      <c r="D32" s="88"/>
      <c r="E32" s="88"/>
      <c r="F32" s="88"/>
      <c r="G32" s="88"/>
      <c r="H32" s="88"/>
      <c r="I32" s="88"/>
      <c r="J32" s="88"/>
      <c r="K32" s="88"/>
      <c r="L32" s="88"/>
      <c r="M32" s="88"/>
      <c r="N32" s="88"/>
      <c r="O32" s="88"/>
      <c r="P32" s="88"/>
      <c r="Q32" s="88"/>
      <c r="R32" s="88"/>
      <c r="V32" s="90" t="s">
        <v>34</v>
      </c>
      <c r="W32" s="90"/>
      <c r="X32" s="90"/>
      <c r="Y32" s="90"/>
      <c r="Z32" s="90"/>
      <c r="AA32" s="90"/>
      <c r="AB32" s="90"/>
      <c r="AC32" s="90"/>
      <c r="AD32" s="90"/>
      <c r="AE32" s="90"/>
      <c r="AF32" s="90"/>
      <c r="AG32" s="90"/>
      <c r="AH32" s="90"/>
      <c r="AI32" s="90"/>
      <c r="AM32" s="88" t="s">
        <v>32</v>
      </c>
      <c r="AN32" s="88"/>
      <c r="AO32" s="88"/>
      <c r="AP32" s="88"/>
      <c r="AQ32" s="88"/>
      <c r="AR32" s="88"/>
      <c r="AS32" s="88"/>
      <c r="AT32" s="88"/>
      <c r="AU32" s="88"/>
      <c r="AV32" s="88"/>
      <c r="AW32" s="88"/>
      <c r="AX32" s="88"/>
      <c r="AY32" s="88"/>
      <c r="AZ32" s="88"/>
      <c r="BA32" s="88"/>
      <c r="BB32" s="88"/>
    </row>
    <row r="34" spans="1:54">
      <c r="A34" s="94" t="s">
        <v>57</v>
      </c>
      <c r="B34" s="94"/>
      <c r="C34" s="94"/>
      <c r="D34" s="94"/>
      <c r="E34" s="94"/>
      <c r="F34" s="94"/>
      <c r="G34" s="94"/>
      <c r="H34" s="94"/>
      <c r="I34" s="94"/>
      <c r="J34" s="94"/>
      <c r="K34" s="94"/>
      <c r="L34" s="94"/>
      <c r="M34" s="94"/>
      <c r="N34" s="94"/>
      <c r="O34" s="94"/>
      <c r="P34" s="94"/>
      <c r="Q34" s="94"/>
      <c r="V34" s="93"/>
      <c r="W34" s="93"/>
      <c r="X34" s="93"/>
      <c r="Y34" s="93"/>
      <c r="Z34" s="93"/>
      <c r="AA34" s="93"/>
      <c r="AB34" s="93"/>
      <c r="AC34" s="93"/>
      <c r="AD34" s="93"/>
      <c r="AE34" s="93"/>
      <c r="AF34" s="93"/>
      <c r="AG34" s="93"/>
      <c r="AH34" s="93"/>
      <c r="AI34" s="93"/>
      <c r="AM34" s="91" t="s">
        <v>59</v>
      </c>
      <c r="AN34" s="91"/>
      <c r="AO34" s="91"/>
      <c r="AP34" s="91"/>
      <c r="AQ34" s="91"/>
      <c r="AR34" s="91"/>
      <c r="AS34" s="91"/>
      <c r="AT34" s="91"/>
      <c r="AU34" s="91"/>
      <c r="AV34" s="91"/>
      <c r="AW34" s="91"/>
      <c r="AX34" s="91"/>
      <c r="AY34" s="91"/>
      <c r="AZ34" s="91"/>
      <c r="BA34" s="91"/>
      <c r="BB34" s="91"/>
    </row>
    <row r="35" spans="1:54" ht="18">
      <c r="A35" s="88" t="s">
        <v>33</v>
      </c>
      <c r="B35" s="88"/>
      <c r="C35" s="88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  <c r="O35" s="88"/>
      <c r="P35" s="88"/>
      <c r="Q35" s="88"/>
      <c r="R35" s="88"/>
      <c r="V35" s="90" t="s">
        <v>34</v>
      </c>
      <c r="W35" s="90"/>
      <c r="X35" s="90"/>
      <c r="Y35" s="90"/>
      <c r="Z35" s="90"/>
      <c r="AA35" s="90"/>
      <c r="AB35" s="90"/>
      <c r="AC35" s="90"/>
      <c r="AD35" s="90"/>
      <c r="AE35" s="90"/>
      <c r="AF35" s="90"/>
      <c r="AG35" s="90"/>
      <c r="AH35" s="90"/>
      <c r="AI35" s="90"/>
      <c r="AM35" s="88" t="s">
        <v>32</v>
      </c>
      <c r="AN35" s="88"/>
      <c r="AO35" s="88"/>
      <c r="AP35" s="88"/>
      <c r="AQ35" s="88"/>
      <c r="AR35" s="88"/>
      <c r="AS35" s="88"/>
      <c r="AT35" s="88"/>
      <c r="AU35" s="88"/>
      <c r="AV35" s="88"/>
      <c r="AW35" s="88"/>
      <c r="AX35" s="88"/>
      <c r="AY35" s="88"/>
      <c r="AZ35" s="88"/>
      <c r="BA35" s="88"/>
      <c r="BB35" s="88"/>
    </row>
    <row r="37" spans="1:54">
      <c r="A37" s="92" t="s">
        <v>62</v>
      </c>
      <c r="B37" s="92"/>
      <c r="C37" s="92"/>
      <c r="D37" s="92"/>
      <c r="E37" s="92"/>
      <c r="F37" s="92"/>
      <c r="G37" s="92"/>
      <c r="H37" s="92"/>
      <c r="I37" s="92"/>
      <c r="J37" s="92"/>
      <c r="K37" s="92"/>
      <c r="L37" s="92"/>
      <c r="M37" s="92"/>
      <c r="N37" s="92"/>
      <c r="O37" s="92"/>
      <c r="P37" s="92"/>
      <c r="Q37" s="92"/>
      <c r="R37" s="92"/>
      <c r="V37" s="93"/>
      <c r="W37" s="93"/>
      <c r="X37" s="93"/>
      <c r="Y37" s="93"/>
      <c r="Z37" s="93"/>
      <c r="AA37" s="93"/>
      <c r="AB37" s="93"/>
      <c r="AC37" s="93"/>
      <c r="AD37" s="93"/>
      <c r="AE37" s="93"/>
      <c r="AF37" s="93"/>
      <c r="AG37" s="93"/>
      <c r="AH37" s="93"/>
      <c r="AI37" s="93"/>
      <c r="AM37" s="91" t="s">
        <v>60</v>
      </c>
      <c r="AN37" s="91"/>
      <c r="AO37" s="91"/>
      <c r="AP37" s="91"/>
      <c r="AQ37" s="91"/>
      <c r="AR37" s="91"/>
      <c r="AS37" s="91"/>
      <c r="AT37" s="91"/>
      <c r="AU37" s="91"/>
      <c r="AV37" s="91"/>
      <c r="AW37" s="91"/>
      <c r="AX37" s="91"/>
      <c r="AY37" s="91"/>
      <c r="AZ37" s="91"/>
      <c r="BA37" s="91"/>
      <c r="BB37" s="91"/>
    </row>
    <row r="38" spans="1:54" ht="18">
      <c r="A38" s="88" t="s">
        <v>33</v>
      </c>
      <c r="B38" s="88"/>
      <c r="C38" s="88"/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  <c r="O38" s="88"/>
      <c r="P38" s="88"/>
      <c r="Q38" s="88"/>
      <c r="R38" s="88"/>
      <c r="V38" s="90" t="s">
        <v>34</v>
      </c>
      <c r="W38" s="90"/>
      <c r="X38" s="90"/>
      <c r="Y38" s="90"/>
      <c r="Z38" s="90"/>
      <c r="AA38" s="90"/>
      <c r="AB38" s="90"/>
      <c r="AC38" s="90"/>
      <c r="AD38" s="90"/>
      <c r="AE38" s="90"/>
      <c r="AF38" s="90"/>
      <c r="AG38" s="90"/>
      <c r="AH38" s="90"/>
      <c r="AI38" s="90"/>
      <c r="AM38" s="88" t="s">
        <v>32</v>
      </c>
      <c r="AN38" s="88"/>
      <c r="AO38" s="88"/>
      <c r="AP38" s="88"/>
      <c r="AQ38" s="88"/>
      <c r="AR38" s="88"/>
      <c r="AS38" s="88"/>
      <c r="AT38" s="88"/>
      <c r="AU38" s="88"/>
      <c r="AV38" s="88"/>
      <c r="AW38" s="88"/>
      <c r="AX38" s="88"/>
      <c r="AY38" s="88"/>
      <c r="AZ38" s="88"/>
      <c r="BA38" s="88"/>
      <c r="BB38" s="88"/>
    </row>
    <row r="41" spans="1:54" s="10" customFormat="1" ht="20.100000000000001" customHeight="1">
      <c r="A41" s="89" t="s">
        <v>35</v>
      </c>
      <c r="B41" s="89"/>
      <c r="C41" s="89"/>
      <c r="D41" s="89"/>
      <c r="E41" s="89"/>
      <c r="F41" s="89"/>
      <c r="G41" s="89"/>
      <c r="H41" s="89"/>
      <c r="I41" s="89"/>
      <c r="J41" s="89"/>
      <c r="K41" s="89"/>
      <c r="L41" s="89"/>
      <c r="M41" s="89"/>
      <c r="N41" s="89"/>
      <c r="O41" s="89"/>
      <c r="P41" s="89"/>
      <c r="Q41" s="89"/>
      <c r="R41" s="89"/>
      <c r="S41" s="89"/>
      <c r="T41" s="89"/>
      <c r="U41" s="89"/>
      <c r="V41" s="89"/>
      <c r="W41" s="89"/>
      <c r="X41" s="89"/>
      <c r="Y41" s="89"/>
      <c r="Z41" s="89"/>
      <c r="AA41" s="89"/>
      <c r="AB41" s="89"/>
      <c r="AC41" s="89"/>
      <c r="AD41" s="89"/>
      <c r="AE41" s="89"/>
      <c r="AF41" s="89"/>
      <c r="AG41" s="89"/>
      <c r="AH41" s="89"/>
      <c r="AI41" s="89"/>
      <c r="AJ41" s="89"/>
      <c r="AK41" s="89"/>
      <c r="AL41" s="89"/>
      <c r="AM41" s="89"/>
      <c r="AN41" s="89"/>
      <c r="AO41" s="89"/>
      <c r="AP41" s="89"/>
      <c r="AQ41" s="89"/>
      <c r="AR41" s="89"/>
      <c r="AS41" s="89"/>
      <c r="AT41" s="89"/>
      <c r="AU41" s="89"/>
      <c r="AV41" s="89"/>
      <c r="AW41" s="89"/>
      <c r="AX41" s="89"/>
      <c r="AY41" s="89"/>
      <c r="AZ41" s="89"/>
      <c r="BA41" s="89"/>
      <c r="BB41" s="89"/>
    </row>
    <row r="42" spans="1:54" s="10" customFormat="1" ht="20.100000000000001" customHeight="1">
      <c r="A42" s="89" t="s">
        <v>36</v>
      </c>
      <c r="B42" s="89"/>
      <c r="C42" s="89"/>
      <c r="D42" s="89"/>
      <c r="E42" s="89"/>
      <c r="F42" s="89"/>
      <c r="G42" s="89"/>
      <c r="H42" s="89"/>
      <c r="I42" s="89"/>
      <c r="J42" s="89"/>
      <c r="K42" s="89"/>
      <c r="L42" s="89"/>
      <c r="M42" s="89"/>
      <c r="N42" s="89"/>
      <c r="O42" s="89"/>
      <c r="P42" s="89"/>
      <c r="Q42" s="89"/>
      <c r="R42" s="89"/>
      <c r="S42" s="89"/>
      <c r="T42" s="89"/>
      <c r="U42" s="89"/>
      <c r="V42" s="89"/>
      <c r="W42" s="89"/>
      <c r="X42" s="89"/>
      <c r="Y42" s="89"/>
      <c r="Z42" s="89"/>
      <c r="AA42" s="89"/>
      <c r="AB42" s="89"/>
      <c r="AC42" s="89"/>
      <c r="AD42" s="89"/>
      <c r="AE42" s="89"/>
      <c r="AF42" s="89"/>
      <c r="AG42" s="89"/>
      <c r="AH42" s="89"/>
      <c r="AI42" s="89"/>
      <c r="AJ42" s="89"/>
      <c r="AK42" s="89"/>
      <c r="AL42" s="89"/>
      <c r="AM42" s="89"/>
      <c r="AN42" s="89"/>
      <c r="AO42" s="89"/>
      <c r="AP42" s="89"/>
      <c r="AQ42" s="89"/>
      <c r="AR42" s="89"/>
      <c r="AS42" s="89"/>
      <c r="AT42" s="89"/>
      <c r="AU42" s="89"/>
      <c r="AV42" s="89"/>
      <c r="AW42" s="89"/>
      <c r="AX42" s="89"/>
      <c r="AY42" s="89"/>
      <c r="AZ42" s="89"/>
      <c r="BA42" s="89"/>
      <c r="BB42" s="89"/>
    </row>
  </sheetData>
  <mergeCells count="67">
    <mergeCell ref="B8:Z8"/>
    <mergeCell ref="AA8:BB8"/>
    <mergeCell ref="A2:BB2"/>
    <mergeCell ref="AA4:BB4"/>
    <mergeCell ref="AA5:BB5"/>
    <mergeCell ref="B7:Z7"/>
    <mergeCell ref="AA7:BB7"/>
    <mergeCell ref="B9:Z9"/>
    <mergeCell ref="AA9:BB9"/>
    <mergeCell ref="B10:Z10"/>
    <mergeCell ref="AA10:BB10"/>
    <mergeCell ref="B11:Z11"/>
    <mergeCell ref="AA11:BB11"/>
    <mergeCell ref="B12:Z12"/>
    <mergeCell ref="AA12:BB12"/>
    <mergeCell ref="B13:Z13"/>
    <mergeCell ref="AA13:BB13"/>
    <mergeCell ref="B14:Z14"/>
    <mergeCell ref="AA14:BB14"/>
    <mergeCell ref="B15:Z15"/>
    <mergeCell ref="AA15:BB15"/>
    <mergeCell ref="B16:Z16"/>
    <mergeCell ref="AA16:BB16"/>
    <mergeCell ref="B17:Z17"/>
    <mergeCell ref="AA17:BB17"/>
    <mergeCell ref="B18:Z18"/>
    <mergeCell ref="AA18:BB18"/>
    <mergeCell ref="B19:Z19"/>
    <mergeCell ref="AA19:BB19"/>
    <mergeCell ref="B20:Z20"/>
    <mergeCell ref="AA20:BB20"/>
    <mergeCell ref="B21:Z21"/>
    <mergeCell ref="AA21:BB21"/>
    <mergeCell ref="B22:Z22"/>
    <mergeCell ref="AA22:BB22"/>
    <mergeCell ref="B23:Z23"/>
    <mergeCell ref="AA23:BB23"/>
    <mergeCell ref="B24:Z24"/>
    <mergeCell ref="AA24:BB24"/>
    <mergeCell ref="B25:Z25"/>
    <mergeCell ref="AA25:BB25"/>
    <mergeCell ref="B26:Z26"/>
    <mergeCell ref="AA26:BB26"/>
    <mergeCell ref="B27:Z27"/>
    <mergeCell ref="AA27:BB27"/>
    <mergeCell ref="B28:Z28"/>
    <mergeCell ref="AA28:BB28"/>
    <mergeCell ref="AM31:BB31"/>
    <mergeCell ref="A31:R31"/>
    <mergeCell ref="V31:AI31"/>
    <mergeCell ref="AM32:BB32"/>
    <mergeCell ref="A34:Q34"/>
    <mergeCell ref="AM34:BB34"/>
    <mergeCell ref="A32:R32"/>
    <mergeCell ref="V32:AI32"/>
    <mergeCell ref="V34:AI34"/>
    <mergeCell ref="AM35:BB35"/>
    <mergeCell ref="AM37:BB37"/>
    <mergeCell ref="A37:R37"/>
    <mergeCell ref="A35:R35"/>
    <mergeCell ref="V35:AI35"/>
    <mergeCell ref="V37:AI37"/>
    <mergeCell ref="AM38:BB38"/>
    <mergeCell ref="A41:BB41"/>
    <mergeCell ref="A42:BB42"/>
    <mergeCell ref="A38:R38"/>
    <mergeCell ref="V38:AI38"/>
  </mergeCells>
  <pageMargins left="0.39370078740157483" right="0.39370078740157483" top="0.74803149606299213" bottom="0.74803149606299213" header="0.31496062992125984" footer="0.31496062992125984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Регистрация заявок</vt:lpstr>
      <vt:lpstr>Реестр контрагентов</vt:lpstr>
      <vt:lpstr>Шаблон заявки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aabanchikov</dc:creator>
  <cp:lastModifiedBy>aabanchikov</cp:lastModifiedBy>
  <cp:lastPrinted>2021-01-22T02:46:41Z</cp:lastPrinted>
  <dcterms:created xsi:type="dcterms:W3CDTF">2020-12-16T02:35:08Z</dcterms:created>
  <dcterms:modified xsi:type="dcterms:W3CDTF">2022-01-19T07:31:47Z</dcterms:modified>
</cp:coreProperties>
</file>